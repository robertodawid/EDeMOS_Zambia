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rheredia_ic_ac_uk/Documents/UKPACT/EDeMOS_Malawi/Residential/Data/Census/"/>
    </mc:Choice>
  </mc:AlternateContent>
  <xr:revisionPtr revIDLastSave="210" documentId="13_ncr:1_{7A7264E3-B300-4A81-9E04-4E5E601C4F73}" xr6:coauthVersionLast="47" xr6:coauthVersionMax="47" xr10:uidLastSave="{D148ECAE-6218-49E6-87CB-AB1365249016}"/>
  <bookViews>
    <workbookView xWindow="-96" yWindow="-96" windowWidth="23232" windowHeight="14832" xr2:uid="{00000000-000D-0000-FFFF-FFFF00000000}"/>
  </bookViews>
  <sheets>
    <sheet name="Censu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3" l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2" i="13"/>
</calcChain>
</file>

<file path=xl/sharedStrings.xml><?xml version="1.0" encoding="utf-8"?>
<sst xmlns="http://schemas.openxmlformats.org/spreadsheetml/2006/main" count="38" uniqueCount="38">
  <si>
    <t>Chitipa</t>
  </si>
  <si>
    <t>Karonga</t>
  </si>
  <si>
    <t>Nkhata Bay</t>
  </si>
  <si>
    <t>Rumphi</t>
  </si>
  <si>
    <t>Mzimba</t>
  </si>
  <si>
    <t>Likoma</t>
  </si>
  <si>
    <t>Kasungu</t>
  </si>
  <si>
    <t>Dowa</t>
  </si>
  <si>
    <t>Salima</t>
  </si>
  <si>
    <t>Lilongwe</t>
  </si>
  <si>
    <t>Mchinji</t>
  </si>
  <si>
    <t>Dedza</t>
  </si>
  <si>
    <t>Ntcheu</t>
  </si>
  <si>
    <t>Ntchisi</t>
  </si>
  <si>
    <t>Mangochi</t>
  </si>
  <si>
    <t>Nsanje</t>
  </si>
  <si>
    <t>Zomba</t>
  </si>
  <si>
    <t>Thyolo</t>
  </si>
  <si>
    <t>Mulanje</t>
  </si>
  <si>
    <t>Phalombe</t>
  </si>
  <si>
    <t>Neno</t>
  </si>
  <si>
    <t>Mwanza</t>
  </si>
  <si>
    <t>Nkhotakota</t>
  </si>
  <si>
    <t>Machinga</t>
  </si>
  <si>
    <t>Chiradzulu</t>
  </si>
  <si>
    <t>Chikwawa</t>
  </si>
  <si>
    <t>Balaka</t>
  </si>
  <si>
    <t>Blantyre</t>
  </si>
  <si>
    <t>HH_total</t>
  </si>
  <si>
    <t>HH_rural</t>
  </si>
  <si>
    <t>HH_urban</t>
  </si>
  <si>
    <t>region</t>
  </si>
  <si>
    <t>size_HH_rural</t>
  </si>
  <si>
    <t>size_HH_urban</t>
  </si>
  <si>
    <t>total</t>
  </si>
  <si>
    <t>Share women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</si>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</sst>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2" fillId="0" borderId="0" xfId="1" applyFont="1"/>
    <xf numFmtId="0" fontId="5" fillId="0" borderId="0" xfId="0" applyFont="1"/>
    <xf numFmtId="1" fontId="4" fillId="0" borderId="0" xfId="0" applyNumberFormat="1" applyFont="1"/>
    <xf numFmtId="0" fontId="4" fillId="0" borderId="0" xfId="0" applyFont="1" applyAlignment="1">
      <alignment vertical="center"/>
    </xf>
    <xf numFmtId="0" fontId="1" fillId="0" borderId="0" xfId="1" applyFont="1"/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7DC6-0966-4B4A-9DB0-C1184506C189}">
  <dimension ref="A1:J993"/>
  <sheetViews>
    <sheetView tabSelected="1" zoomScale="97" zoomScaleNormal="130" workbookViewId="0">
      <selection activeCell="A26" sqref="A26"/>
    </sheetView>
  </sheetViews>
  <sheetFormatPr defaultColWidth="14.42578125" defaultRowHeight="15" x14ac:dyDescent="0.25"/>
  <cols>
    <col min="1" max="1" width="11.7109375" style="1" bestFit="1" customWidth="1"/>
    <col min="2" max="2" width="13.7109375" style="1" bestFit="1" customWidth="1"/>
    <col min="3" max="4" width="8.7109375" style="1" customWidth="1"/>
    <col min="5" max="5" width="12.42578125" style="1" bestFit="1" customWidth="1"/>
    <col min="6" max="6" width="10.42578125" style="1" bestFit="1" customWidth="1"/>
    <col min="7" max="7" width="11.7109375" style="1" bestFit="1" customWidth="1"/>
    <col min="8" max="11" width="8.7109375" style="1" customWidth="1"/>
    <col min="12" max="12" width="12.85546875" style="1" bestFit="1" customWidth="1"/>
    <col min="13" max="13" width="8.7109375" style="1" customWidth="1"/>
    <col min="14" max="16384" width="14.42578125" style="1"/>
  </cols>
  <sheetData>
    <row r="1" spans="1:10" s="3" customFormat="1" ht="15.75" customHeight="1" x14ac:dyDescent="0.25">
      <c r="A1" s="2" t="s">
        <v>31</v>
      </c>
      <c r="B1" s="2" t="s">
        <v>28</v>
      </c>
      <c r="C1" s="5" t="s">
        <v>29</v>
      </c>
      <c r="D1" s="5" t="s">
        <v>30</v>
      </c>
      <c r="E1" s="1" t="s">
        <v>32</v>
      </c>
      <c r="F1" s="1" t="s">
        <v>33</v>
      </c>
      <c r="G1" s="3" t="s">
        <v>34</v>
      </c>
      <c r="H1" s="3" t="s">
        <v>36</v>
      </c>
      <c r="I1" s="3" t="s">
        <v>37</v>
      </c>
      <c r="J1" s="3" t="s">
        <v>35</v>
      </c>
    </row>
    <row r="2" spans="1:10" ht="15.75" customHeight="1" x14ac:dyDescent="0.25">
      <c r="A2" s="2" t="s">
        <v>26</v>
      </c>
      <c r="B2" s="2">
        <v>101575</v>
      </c>
      <c r="C2" s="4">
        <v>90139</v>
      </c>
      <c r="D2" s="4">
        <v>11436</v>
      </c>
      <c r="E2" s="1">
        <v>4.3</v>
      </c>
      <c r="F2" s="1">
        <v>4.3</v>
      </c>
      <c r="G2" s="1">
        <v>438379</v>
      </c>
      <c r="H2" s="1">
        <v>209274</v>
      </c>
      <c r="I2" s="1">
        <v>229105</v>
      </c>
      <c r="J2" s="1">
        <f>+I2/G2</f>
        <v>0.52261855608959373</v>
      </c>
    </row>
    <row r="3" spans="1:10" ht="15.75" customHeight="1" x14ac:dyDescent="0.25">
      <c r="A3" s="2" t="s">
        <v>27</v>
      </c>
      <c r="B3" s="1">
        <v>301645</v>
      </c>
      <c r="C3" s="1">
        <v>109963</v>
      </c>
      <c r="D3" s="1">
        <v>191682</v>
      </c>
      <c r="E3" s="1">
        <v>4.0999999999999996</v>
      </c>
      <c r="F3" s="1">
        <v>4.2</v>
      </c>
      <c r="G3" s="1">
        <v>1251484</v>
      </c>
      <c r="H3" s="1">
        <v>619636</v>
      </c>
      <c r="I3" s="1">
        <v>631848</v>
      </c>
      <c r="J3" s="1">
        <f t="shared" ref="J3:J29" si="0">+I3/G3</f>
        <v>0.50487900764212723</v>
      </c>
    </row>
    <row r="4" spans="1:10" ht="15.75" customHeight="1" x14ac:dyDescent="0.25">
      <c r="A4" s="2" t="s">
        <v>25</v>
      </c>
      <c r="B4" s="2">
        <v>127201</v>
      </c>
      <c r="C4" s="4">
        <v>124240</v>
      </c>
      <c r="D4" s="4">
        <v>2961</v>
      </c>
      <c r="E4" s="1">
        <v>4.4000000000000004</v>
      </c>
      <c r="F4" s="1">
        <v>4.4000000000000004</v>
      </c>
      <c r="G4" s="1">
        <v>564684</v>
      </c>
      <c r="H4" s="1">
        <v>276890</v>
      </c>
      <c r="I4" s="1">
        <v>287794</v>
      </c>
      <c r="J4" s="1">
        <f t="shared" si="0"/>
        <v>0.50965495746293499</v>
      </c>
    </row>
    <row r="5" spans="1:10" ht="15.75" customHeight="1" x14ac:dyDescent="0.25">
      <c r="A5" s="2" t="s">
        <v>24</v>
      </c>
      <c r="B5" s="2">
        <v>90551</v>
      </c>
      <c r="C5" s="4">
        <v>89800</v>
      </c>
      <c r="D5" s="4">
        <v>751</v>
      </c>
      <c r="E5" s="1">
        <v>3.9</v>
      </c>
      <c r="F5" s="1">
        <v>3.9</v>
      </c>
      <c r="G5" s="1">
        <v>356875</v>
      </c>
      <c r="H5" s="1">
        <v>169679</v>
      </c>
      <c r="I5" s="1">
        <v>187196</v>
      </c>
      <c r="J5" s="1">
        <f t="shared" si="0"/>
        <v>0.52454220665499129</v>
      </c>
    </row>
    <row r="6" spans="1:10" ht="15.75" customHeight="1" x14ac:dyDescent="0.25">
      <c r="A6" s="2" t="s">
        <v>0</v>
      </c>
      <c r="B6" s="2">
        <v>49661</v>
      </c>
      <c r="C6" s="4">
        <v>45910</v>
      </c>
      <c r="D6" s="4">
        <v>3751</v>
      </c>
      <c r="E6" s="1">
        <v>4.7</v>
      </c>
      <c r="F6" s="1">
        <v>4.7</v>
      </c>
      <c r="G6" s="1">
        <v>234927</v>
      </c>
      <c r="H6" s="1">
        <v>114392</v>
      </c>
      <c r="I6" s="1">
        <v>120535</v>
      </c>
      <c r="J6" s="1">
        <f t="shared" si="0"/>
        <v>0.51307427413622109</v>
      </c>
    </row>
    <row r="7" spans="1:10" ht="15.75" customHeight="1" x14ac:dyDescent="0.25">
      <c r="A7" s="2" t="s">
        <v>11</v>
      </c>
      <c r="B7" s="2">
        <v>196003</v>
      </c>
      <c r="C7" s="4">
        <v>188704</v>
      </c>
      <c r="D7" s="4">
        <v>7299</v>
      </c>
      <c r="E7" s="1">
        <v>4.2</v>
      </c>
      <c r="F7" s="1">
        <v>4.2</v>
      </c>
      <c r="G7" s="1">
        <v>830512</v>
      </c>
      <c r="H7" s="1">
        <v>395882</v>
      </c>
      <c r="I7" s="1">
        <v>434630</v>
      </c>
      <c r="J7" s="1">
        <f t="shared" si="0"/>
        <v>0.52332777852698098</v>
      </c>
    </row>
    <row r="8" spans="1:10" ht="15.75" customHeight="1" x14ac:dyDescent="0.25">
      <c r="A8" s="2" t="s">
        <v>7</v>
      </c>
      <c r="B8" s="2">
        <v>176252</v>
      </c>
      <c r="C8" s="4">
        <v>169025</v>
      </c>
      <c r="D8" s="4">
        <v>7227</v>
      </c>
      <c r="E8" s="1">
        <v>4.4000000000000004</v>
      </c>
      <c r="F8" s="1">
        <v>4.4000000000000004</v>
      </c>
      <c r="G8" s="1">
        <v>772569</v>
      </c>
      <c r="H8" s="1">
        <v>378160</v>
      </c>
      <c r="I8" s="1">
        <v>394409</v>
      </c>
      <c r="J8" s="1">
        <f t="shared" si="0"/>
        <v>0.5105162127913494</v>
      </c>
    </row>
    <row r="9" spans="1:10" ht="15.75" customHeight="1" x14ac:dyDescent="0.25">
      <c r="A9" s="2" t="s">
        <v>1</v>
      </c>
      <c r="B9" s="2">
        <v>74953</v>
      </c>
      <c r="C9" s="4">
        <v>62303</v>
      </c>
      <c r="D9" s="4">
        <v>12650</v>
      </c>
      <c r="E9" s="1">
        <v>4.9000000000000004</v>
      </c>
      <c r="F9" s="1">
        <v>4.9000000000000004</v>
      </c>
      <c r="G9" s="1">
        <v>365028</v>
      </c>
      <c r="H9" s="1">
        <v>176197</v>
      </c>
      <c r="I9" s="1">
        <v>188831</v>
      </c>
      <c r="J9" s="1">
        <f t="shared" si="0"/>
        <v>0.51730552176819311</v>
      </c>
    </row>
    <row r="10" spans="1:10" ht="15.75" customHeight="1" x14ac:dyDescent="0.25">
      <c r="A10" s="2" t="s">
        <v>6</v>
      </c>
      <c r="B10" s="2">
        <v>179684</v>
      </c>
      <c r="C10" s="4">
        <v>154804</v>
      </c>
      <c r="D10" s="4">
        <v>24880</v>
      </c>
      <c r="E10" s="1">
        <v>4.7</v>
      </c>
      <c r="F10" s="1">
        <v>4.7</v>
      </c>
      <c r="G10" s="1">
        <v>842953</v>
      </c>
      <c r="H10" s="1">
        <v>417295</v>
      </c>
      <c r="I10" s="1">
        <v>425658</v>
      </c>
      <c r="J10" s="1">
        <f t="shared" si="0"/>
        <v>0.50496053753886638</v>
      </c>
    </row>
    <row r="11" spans="1:10" ht="15.75" customHeight="1" x14ac:dyDescent="0.25">
      <c r="A11" s="2" t="s">
        <v>5</v>
      </c>
      <c r="B11" s="2">
        <v>2892</v>
      </c>
      <c r="C11" s="4">
        <v>2629</v>
      </c>
      <c r="D11" s="4">
        <v>263</v>
      </c>
      <c r="E11" s="1">
        <v>5</v>
      </c>
      <c r="F11" s="1">
        <v>5</v>
      </c>
      <c r="G11" s="1">
        <v>14527</v>
      </c>
      <c r="H11" s="1">
        <v>7200</v>
      </c>
      <c r="I11" s="1">
        <v>7327</v>
      </c>
      <c r="J11" s="1">
        <f t="shared" si="0"/>
        <v>0.50437117092310868</v>
      </c>
    </row>
    <row r="12" spans="1:10" ht="15.75" customHeight="1" x14ac:dyDescent="0.25">
      <c r="A12" s="2" t="s">
        <v>9</v>
      </c>
      <c r="B12" s="2">
        <v>615168</v>
      </c>
      <c r="C12" s="4">
        <v>384902</v>
      </c>
      <c r="D12" s="4">
        <v>230266</v>
      </c>
      <c r="E12" s="1">
        <v>4.3</v>
      </c>
      <c r="F12" s="1">
        <v>4.3</v>
      </c>
      <c r="G12" s="1">
        <v>2626901</v>
      </c>
      <c r="H12" s="1">
        <v>1292629</v>
      </c>
      <c r="I12" s="1">
        <v>1334272</v>
      </c>
      <c r="J12" s="1">
        <f t="shared" si="0"/>
        <v>0.50792625987808449</v>
      </c>
    </row>
    <row r="13" spans="1:10" ht="15.75" customHeight="1" x14ac:dyDescent="0.25">
      <c r="A13" s="2" t="s">
        <v>23</v>
      </c>
      <c r="B13" s="2">
        <v>164176</v>
      </c>
      <c r="C13" s="4">
        <v>158549</v>
      </c>
      <c r="D13" s="4">
        <v>5627</v>
      </c>
      <c r="E13" s="1">
        <v>4.5</v>
      </c>
      <c r="F13" s="1">
        <v>4.5</v>
      </c>
      <c r="G13" s="1">
        <v>735438</v>
      </c>
      <c r="H13" s="1">
        <v>350742</v>
      </c>
      <c r="I13" s="1">
        <v>384696</v>
      </c>
      <c r="J13" s="1">
        <f t="shared" si="0"/>
        <v>0.52308420288317981</v>
      </c>
    </row>
    <row r="14" spans="1:10" ht="15.75" customHeight="1" x14ac:dyDescent="0.25">
      <c r="A14" s="2" t="s">
        <v>14</v>
      </c>
      <c r="B14" s="2">
        <v>252872</v>
      </c>
      <c r="C14" s="4">
        <v>237802</v>
      </c>
      <c r="D14" s="4">
        <v>15070</v>
      </c>
      <c r="E14" s="1">
        <v>4.5</v>
      </c>
      <c r="F14" s="1">
        <v>4.5</v>
      </c>
      <c r="G14" s="1">
        <v>1148611</v>
      </c>
      <c r="H14" s="1">
        <v>545500</v>
      </c>
      <c r="I14" s="1">
        <v>603111</v>
      </c>
      <c r="J14" s="1">
        <f t="shared" si="0"/>
        <v>0.52507855139816695</v>
      </c>
    </row>
    <row r="15" spans="1:10" ht="15.75" customHeight="1" x14ac:dyDescent="0.25">
      <c r="A15" s="2" t="s">
        <v>10</v>
      </c>
      <c r="B15" s="2">
        <v>134799</v>
      </c>
      <c r="C15" s="4">
        <v>128530</v>
      </c>
      <c r="D15" s="4">
        <v>6269</v>
      </c>
      <c r="E15" s="1">
        <v>4.5</v>
      </c>
      <c r="F15" s="1">
        <v>4.5</v>
      </c>
      <c r="G15" s="1">
        <v>602305</v>
      </c>
      <c r="H15" s="1">
        <v>296786</v>
      </c>
      <c r="I15" s="1">
        <v>305519</v>
      </c>
      <c r="J15" s="1">
        <f t="shared" si="0"/>
        <v>0.50724964926407712</v>
      </c>
    </row>
    <row r="16" spans="1:10" ht="15.75" customHeight="1" x14ac:dyDescent="0.25">
      <c r="A16" s="2" t="s">
        <v>18</v>
      </c>
      <c r="B16" s="2">
        <v>160147</v>
      </c>
      <c r="C16" s="4">
        <v>156687</v>
      </c>
      <c r="D16" s="4">
        <v>3460</v>
      </c>
      <c r="E16" s="1">
        <v>4.3</v>
      </c>
      <c r="F16" s="1">
        <v>4.3</v>
      </c>
      <c r="G16" s="1">
        <v>684107</v>
      </c>
      <c r="H16" s="1">
        <v>325115</v>
      </c>
      <c r="I16" s="1">
        <v>358992</v>
      </c>
      <c r="J16" s="1">
        <f t="shared" si="0"/>
        <v>0.52476001561159291</v>
      </c>
    </row>
    <row r="17" spans="1:10" ht="15.75" customHeight="1" x14ac:dyDescent="0.25">
      <c r="A17" s="2" t="s">
        <v>21</v>
      </c>
      <c r="B17" s="2">
        <v>30345</v>
      </c>
      <c r="C17" s="4">
        <v>26165</v>
      </c>
      <c r="D17" s="4">
        <v>4180</v>
      </c>
      <c r="E17" s="1">
        <v>4.3</v>
      </c>
      <c r="F17" s="1">
        <v>4.3</v>
      </c>
      <c r="G17" s="1">
        <v>130949</v>
      </c>
      <c r="H17" s="1">
        <v>63534</v>
      </c>
      <c r="I17" s="1">
        <v>67415</v>
      </c>
      <c r="J17" s="1">
        <f t="shared" si="0"/>
        <v>0.51481874622944812</v>
      </c>
    </row>
    <row r="18" spans="1:10" ht="15.75" customHeight="1" x14ac:dyDescent="0.25">
      <c r="A18" s="2" t="s">
        <v>4</v>
      </c>
      <c r="B18" s="2">
        <v>245754</v>
      </c>
      <c r="C18" s="4">
        <v>190744</v>
      </c>
      <c r="D18" s="4">
        <v>55010</v>
      </c>
      <c r="E18" s="1">
        <v>4.8</v>
      </c>
      <c r="F18" s="1">
        <v>4.7</v>
      </c>
      <c r="G18" s="1">
        <v>1161456</v>
      </c>
      <c r="H18" s="1">
        <v>564715</v>
      </c>
      <c r="I18" s="1">
        <v>596741</v>
      </c>
      <c r="J18" s="1">
        <f t="shared" si="0"/>
        <v>0.51378700527613619</v>
      </c>
    </row>
    <row r="19" spans="1:10" ht="15.75" customHeight="1" x14ac:dyDescent="0.25">
      <c r="A19" s="2" t="s">
        <v>20</v>
      </c>
      <c r="B19" s="2">
        <v>31490</v>
      </c>
      <c r="C19" s="4">
        <v>30970</v>
      </c>
      <c r="D19" s="4">
        <v>520</v>
      </c>
      <c r="E19" s="1">
        <v>4.4000000000000004</v>
      </c>
      <c r="F19" s="1">
        <v>4.4000000000000004</v>
      </c>
      <c r="G19" s="1">
        <v>138291</v>
      </c>
      <c r="H19" s="1">
        <v>67357</v>
      </c>
      <c r="I19" s="1">
        <v>70934</v>
      </c>
      <c r="J19" s="1">
        <f t="shared" si="0"/>
        <v>0.51293287343355676</v>
      </c>
    </row>
    <row r="20" spans="1:10" ht="15.75" customHeight="1" x14ac:dyDescent="0.25">
      <c r="A20" s="2" t="s">
        <v>2</v>
      </c>
      <c r="B20" s="2">
        <v>52056</v>
      </c>
      <c r="C20" s="4">
        <v>49446</v>
      </c>
      <c r="D20" s="4">
        <v>2610</v>
      </c>
      <c r="E20" s="1">
        <v>5.5</v>
      </c>
      <c r="F20" s="1">
        <v>5.5</v>
      </c>
      <c r="G20" s="1">
        <v>284681</v>
      </c>
      <c r="H20" s="1">
        <v>139341</v>
      </c>
      <c r="I20" s="1">
        <v>145340</v>
      </c>
      <c r="J20" s="1">
        <f t="shared" si="0"/>
        <v>0.51053635472686976</v>
      </c>
    </row>
    <row r="21" spans="1:10" ht="15.75" customHeight="1" x14ac:dyDescent="0.25">
      <c r="A21" s="2" t="s">
        <v>22</v>
      </c>
      <c r="B21" s="2">
        <v>79899</v>
      </c>
      <c r="C21" s="4">
        <v>74136</v>
      </c>
      <c r="D21" s="4">
        <v>5763</v>
      </c>
      <c r="E21" s="1">
        <v>4.9000000000000004</v>
      </c>
      <c r="F21" s="1">
        <v>4.9000000000000004</v>
      </c>
      <c r="G21" s="1">
        <v>393077</v>
      </c>
      <c r="H21" s="1">
        <v>192615</v>
      </c>
      <c r="I21" s="1">
        <v>200462</v>
      </c>
      <c r="J21" s="1">
        <f t="shared" si="0"/>
        <v>0.50998150489598726</v>
      </c>
    </row>
    <row r="22" spans="1:10" ht="15.75" customHeight="1" x14ac:dyDescent="0.25">
      <c r="A22" s="2" t="s">
        <v>15</v>
      </c>
      <c r="B22" s="2">
        <v>63972</v>
      </c>
      <c r="C22" s="4">
        <v>58232</v>
      </c>
      <c r="D22" s="4">
        <v>5740</v>
      </c>
      <c r="E22" s="1">
        <v>4.7</v>
      </c>
      <c r="F22" s="1">
        <v>4.7</v>
      </c>
      <c r="G22" s="1">
        <v>299168</v>
      </c>
      <c r="H22" s="1">
        <v>143578</v>
      </c>
      <c r="I22" s="1">
        <v>155590</v>
      </c>
      <c r="J22" s="1">
        <f t="shared" si="0"/>
        <v>0.52007567654294573</v>
      </c>
    </row>
    <row r="23" spans="1:10" ht="15.75" customHeight="1" x14ac:dyDescent="0.25">
      <c r="A23" s="2" t="s">
        <v>12</v>
      </c>
      <c r="B23" s="2">
        <v>154974</v>
      </c>
      <c r="C23" s="4">
        <v>149983</v>
      </c>
      <c r="D23" s="4">
        <v>4991</v>
      </c>
      <c r="E23" s="1">
        <v>4.3</v>
      </c>
      <c r="F23" s="1">
        <v>4.3</v>
      </c>
      <c r="G23" s="1">
        <v>659608</v>
      </c>
      <c r="H23" s="1">
        <v>319415</v>
      </c>
      <c r="I23" s="1">
        <v>340193</v>
      </c>
      <c r="J23" s="1">
        <f t="shared" si="0"/>
        <v>0.51575026379304068</v>
      </c>
    </row>
    <row r="24" spans="1:10" ht="15.75" customHeight="1" x14ac:dyDescent="0.25">
      <c r="A24" s="2" t="s">
        <v>13</v>
      </c>
      <c r="B24" s="2">
        <v>70673</v>
      </c>
      <c r="C24" s="4">
        <v>68587</v>
      </c>
      <c r="D24" s="4">
        <v>2086</v>
      </c>
      <c r="E24" s="1">
        <v>4.5</v>
      </c>
      <c r="F24" s="1">
        <v>4.5</v>
      </c>
      <c r="G24" s="1">
        <v>317069</v>
      </c>
      <c r="H24" s="1">
        <v>154843</v>
      </c>
      <c r="I24" s="1">
        <v>162226</v>
      </c>
      <c r="J24" s="1">
        <f t="shared" si="0"/>
        <v>0.51164257622157949</v>
      </c>
    </row>
    <row r="25" spans="1:10" ht="15.75" customHeight="1" x14ac:dyDescent="0.25">
      <c r="A25" s="2" t="s">
        <v>19</v>
      </c>
      <c r="B25" s="2">
        <v>98848</v>
      </c>
      <c r="C25" s="4">
        <v>97411</v>
      </c>
      <c r="D25" s="4">
        <v>1437</v>
      </c>
      <c r="E25" s="1">
        <v>4.3</v>
      </c>
      <c r="F25" s="1">
        <v>4.3</v>
      </c>
      <c r="G25" s="1">
        <v>429450</v>
      </c>
      <c r="H25" s="1">
        <v>207006</v>
      </c>
      <c r="I25" s="1">
        <v>222444</v>
      </c>
      <c r="J25" s="1">
        <f t="shared" si="0"/>
        <v>0.51797415298637794</v>
      </c>
    </row>
    <row r="26" spans="1:10" ht="15.75" customHeight="1" x14ac:dyDescent="0.25">
      <c r="A26" s="6" t="s">
        <v>3</v>
      </c>
      <c r="B26" s="2">
        <v>47060</v>
      </c>
      <c r="C26" s="4">
        <v>42469</v>
      </c>
      <c r="D26" s="4">
        <v>4591</v>
      </c>
      <c r="E26" s="1">
        <v>4.9000000000000004</v>
      </c>
      <c r="F26" s="1">
        <v>4.9000000000000004</v>
      </c>
      <c r="G26" s="1">
        <v>229161</v>
      </c>
      <c r="H26" s="1">
        <v>112652</v>
      </c>
      <c r="I26" s="1">
        <v>116509</v>
      </c>
      <c r="J26" s="1">
        <f t="shared" si="0"/>
        <v>0.5084154808191621</v>
      </c>
    </row>
    <row r="27" spans="1:10" ht="15.75" customHeight="1" x14ac:dyDescent="0.25">
      <c r="A27" s="2" t="s">
        <v>8</v>
      </c>
      <c r="B27" s="2">
        <v>105558</v>
      </c>
      <c r="C27" s="4">
        <v>96028</v>
      </c>
      <c r="D27" s="4">
        <v>9530</v>
      </c>
      <c r="E27" s="1">
        <v>4.5</v>
      </c>
      <c r="F27" s="1">
        <v>4.5</v>
      </c>
      <c r="G27" s="1">
        <v>478346</v>
      </c>
      <c r="H27" s="1">
        <v>231931</v>
      </c>
      <c r="I27" s="1">
        <v>246415</v>
      </c>
      <c r="J27" s="1">
        <f t="shared" si="0"/>
        <v>0.51513966877532158</v>
      </c>
    </row>
    <row r="28" spans="1:10" ht="15.75" customHeight="1" x14ac:dyDescent="0.25">
      <c r="A28" s="2" t="s">
        <v>17</v>
      </c>
      <c r="B28" s="2">
        <v>174104</v>
      </c>
      <c r="C28" s="4">
        <v>169171</v>
      </c>
      <c r="D28" s="4">
        <v>4933</v>
      </c>
      <c r="E28" s="1">
        <v>4.0999999999999996</v>
      </c>
      <c r="F28" s="1">
        <v>4.0999999999999996</v>
      </c>
      <c r="G28" s="1">
        <v>721456</v>
      </c>
      <c r="H28" s="1">
        <v>340759</v>
      </c>
      <c r="I28" s="1">
        <v>380697</v>
      </c>
      <c r="J28" s="1">
        <f t="shared" si="0"/>
        <v>0.52767874963961769</v>
      </c>
    </row>
    <row r="29" spans="1:10" ht="15.75" customHeight="1" x14ac:dyDescent="0.25">
      <c r="A29" s="2" t="s">
        <v>16</v>
      </c>
      <c r="B29" s="2">
        <v>202674</v>
      </c>
      <c r="C29" s="4">
        <v>177681</v>
      </c>
      <c r="D29" s="4">
        <v>24993</v>
      </c>
      <c r="E29" s="1">
        <v>4.2</v>
      </c>
      <c r="F29" s="1">
        <v>4.2</v>
      </c>
      <c r="G29" s="1">
        <v>851737</v>
      </c>
      <c r="H29" s="1">
        <v>408337</v>
      </c>
      <c r="I29" s="1">
        <v>443400</v>
      </c>
      <c r="J29" s="1">
        <f t="shared" si="0"/>
        <v>0.52058323167832321</v>
      </c>
    </row>
    <row r="30" spans="1:10" ht="15.75" customHeight="1" x14ac:dyDescent="0.25">
      <c r="A30" s="2"/>
      <c r="B30" s="2"/>
      <c r="C30" s="4"/>
      <c r="D30" s="4"/>
    </row>
    <row r="31" spans="1:10" ht="15.75" customHeight="1" x14ac:dyDescent="0.25">
      <c r="A31" s="2"/>
    </row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sortState xmlns:xlrd2="http://schemas.microsoft.com/office/spreadsheetml/2017/richdata2" ref="L2:P33">
    <sortCondition ref="L1:L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A23EF0C5D7394A8FBFAE1E3A02E3ED" ma:contentTypeVersion="15" ma:contentTypeDescription="Crear nuevo documento." ma:contentTypeScope="" ma:versionID="1063078bec93debd59b3057e07fd00a1">
  <xsd:schema xmlns:xsd="http://www.w3.org/2001/XMLSchema" xmlns:xs="http://www.w3.org/2001/XMLSchema" xmlns:p="http://schemas.microsoft.com/office/2006/metadata/properties" xmlns:ns2="09accc49-8c07-47d0-b672-310300214191" xmlns:ns3="6cadb53b-69e2-4ba8-a1d8-70bee0101908" targetNamespace="http://schemas.microsoft.com/office/2006/metadata/properties" ma:root="true" ma:fieldsID="2768390a032c9f6b358d212780260adc" ns2:_="" ns3:_="">
    <xsd:import namespace="09accc49-8c07-47d0-b672-310300214191"/>
    <xsd:import namespace="6cadb53b-69e2-4ba8-a1d8-70bee01019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ccc49-8c07-47d0-b672-310300214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db53b-69e2-4ba8-a1d8-70bee01019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549d678-236e-4b00-a4de-d9db09be686e}" ma:internalName="TaxCatchAll" ma:showField="CatchAllData" ma:web="6cadb53b-69e2-4ba8-a1d8-70bee01019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0E4FB3-3CDC-4E38-BC6E-774180AFFF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A94D33-4AE0-4686-A706-F34694AE0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accc49-8c07-47d0-b672-310300214191"/>
    <ds:schemaRef ds:uri="6cadb53b-69e2-4ba8-a1d8-70bee0101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Heredia Fonseca, Roberto D</cp:lastModifiedBy>
  <dcterms:created xsi:type="dcterms:W3CDTF">2018-01-17T06:54:10Z</dcterms:created>
  <dcterms:modified xsi:type="dcterms:W3CDTF">2025-04-29T18:26:56Z</dcterms:modified>
</cp:coreProperties>
</file>