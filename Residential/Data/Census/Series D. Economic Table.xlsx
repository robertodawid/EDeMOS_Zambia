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rheredia_ic_ac_uk/Documents/UKPACT/EDeMOS_Malawi/Residential/Data/Census/"/>
    </mc:Choice>
  </mc:AlternateContent>
  <xr:revisionPtr revIDLastSave="103" documentId="11_F133A7BA83B5D62B4DD888DA136F325588769F62" xr6:coauthVersionLast="47" xr6:coauthVersionMax="47" xr10:uidLastSave="{FF19D567-33FE-4D54-92CF-7CB39E0A18A9}"/>
  <bookViews>
    <workbookView xWindow="-120" yWindow="-120" windowWidth="29040" windowHeight="1752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O13" i="1"/>
  <c r="O12" i="1"/>
  <c r="O10" i="1"/>
  <c r="O9" i="1"/>
  <c r="O11" i="1"/>
  <c r="O8" i="1"/>
  <c r="O7" i="1"/>
  <c r="O6" i="1"/>
</calcChain>
</file>

<file path=xl/sharedStrings.xml><?xml version="1.0" encoding="utf-8"?>
<sst xmlns="http://schemas.openxmlformats.org/spreadsheetml/2006/main" count="74" uniqueCount="28">
  <si>
    <t>Table D3. Population aged 15 - 64 years  by Economically Active and Inactive, Sex, Age Group, Urban and Rural, 2018</t>
  </si>
  <si>
    <r>
      <rPr>
        <b/>
        <sz val="10"/>
        <color rgb="FF363435"/>
        <rFont val="Times New Roman"/>
        <family val="1"/>
      </rPr>
      <t xml:space="preserve">Age
</t>
    </r>
    <r>
      <rPr>
        <b/>
        <sz val="10"/>
        <color rgb="FF363435"/>
        <rFont val="Times New Roman"/>
        <family val="1"/>
      </rPr>
      <t>G</t>
    </r>
    <r>
      <rPr>
        <b/>
        <sz val="10"/>
        <color rgb="FF363435"/>
        <rFont val="Times New Roman"/>
        <family val="1"/>
      </rPr>
      <t>r</t>
    </r>
    <r>
      <rPr>
        <b/>
        <sz val="10"/>
        <color rgb="FF363435"/>
        <rFont val="Times New Roman"/>
        <family val="1"/>
      </rPr>
      <t>oup</t>
    </r>
  </si>
  <si>
    <t>Total Labour Force</t>
  </si>
  <si>
    <t>Employed</t>
  </si>
  <si>
    <t>Employer</t>
  </si>
  <si>
    <t>Total</t>
  </si>
  <si>
    <t>Male</t>
  </si>
  <si>
    <t>Female</t>
  </si>
  <si>
    <t>Malawi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</si>
  <si>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</si>
  <si>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</si>
  <si>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</si>
  <si>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</si>
  <si>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</si>
  <si>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</si>
  <si>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</si>
  <si>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</si>
  <si>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</si>
  <si>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</si>
  <si>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Urban</t>
  </si>
  <si>
    <t>Rural</t>
  </si>
  <si>
    <t>Location</t>
  </si>
  <si>
    <t>sex</t>
  </si>
  <si>
    <t>15-49</t>
  </si>
  <si>
    <t>urban</t>
  </si>
  <si>
    <t>rural</t>
  </si>
  <si>
    <t>national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</si>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</sst>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73" formatCode="0.000"/>
  </numFmts>
  <fonts count="4" x14ac:knownFonts="1">
    <font>
      <sz val="11"/>
      <color rgb="FF000000"/>
      <name val="Calibri"/>
      <family val="2"/>
      <charset val="204"/>
    </font>
    <font>
      <b/>
      <sz val="10"/>
      <color rgb="FF363435"/>
      <name val="Times New Roman"/>
      <family val="1"/>
    </font>
    <font>
      <sz val="10"/>
      <color rgb="FF363435"/>
      <name val="Times New Roman"/>
      <family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363435"/>
      </left>
      <right/>
      <top/>
      <bottom/>
      <diagonal/>
    </border>
    <border>
      <left/>
      <right/>
      <top style="thin">
        <color rgb="FF363435"/>
      </top>
      <bottom style="thin">
        <color rgb="FF363435"/>
      </bottom>
      <diagonal/>
    </border>
    <border>
      <left/>
      <right/>
      <top/>
      <bottom/>
      <diagonal/>
    </border>
    <border>
      <left style="thin">
        <color rgb="FF363435"/>
      </left>
      <right/>
      <top/>
      <bottom/>
      <diagonal/>
    </border>
    <border>
      <left style="thin">
        <color rgb="FF363435"/>
      </left>
      <right/>
      <top/>
      <bottom/>
      <diagonal/>
    </border>
    <border>
      <left/>
      <right/>
      <top style="thin">
        <color rgb="FF363435"/>
      </top>
      <bottom style="thin">
        <color rgb="FF363435"/>
      </bottom>
      <diagonal/>
    </border>
    <border>
      <left style="thin">
        <color rgb="FF363435"/>
      </left>
      <right style="thin">
        <color rgb="FF363435"/>
      </right>
      <top style="thin">
        <color rgb="FF363435"/>
      </top>
      <bottom style="thin">
        <color rgb="FF363435"/>
      </bottom>
      <diagonal/>
    </border>
    <border>
      <left/>
      <right style="thin">
        <color rgb="FF363435"/>
      </right>
      <top/>
      <bottom/>
      <diagonal/>
    </border>
    <border>
      <left style="thin">
        <color rgb="FF363435"/>
      </left>
      <right/>
      <top/>
      <bottom style="thin">
        <color rgb="FF363435"/>
      </bottom>
      <diagonal/>
    </border>
    <border>
      <left/>
      <right/>
      <top/>
      <bottom style="thin">
        <color rgb="FF363435"/>
      </bottom>
      <diagonal/>
    </border>
    <border>
      <left/>
      <right style="thin">
        <color rgb="FF363435"/>
      </right>
      <top/>
      <bottom style="thin">
        <color rgb="FF36343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2" fillId="0" borderId="7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0" fillId="0" borderId="0" xfId="0"/>
    <xf numFmtId="0" fontId="1" fillId="0" borderId="3" xfId="0" applyFont="1" applyBorder="1" applyAlignment="1">
      <alignment horizontal="center" vertical="top"/>
    </xf>
    <xf numFmtId="3" fontId="1" fillId="0" borderId="7" xfId="0" applyNumberFormat="1" applyFont="1" applyBorder="1" applyAlignment="1">
      <alignment horizontal="right" vertical="top"/>
    </xf>
    <xf numFmtId="3" fontId="2" fillId="0" borderId="7" xfId="0" applyNumberFormat="1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3" fontId="0" fillId="0" borderId="0" xfId="0" applyNumberFormat="1"/>
    <xf numFmtId="0" fontId="3" fillId="0" borderId="0" xfId="0" applyFont="1"/>
    <xf numFmtId="165" fontId="0" fillId="0" borderId="0" xfId="0" applyNumberFormat="1"/>
    <xf numFmtId="17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Normal="100" workbookViewId="0">
      <selection activeCell="U4" sqref="U4"/>
    </sheetView>
  </sheetViews>
  <sheetFormatPr defaultRowHeight="15" x14ac:dyDescent="0.25"/>
  <cols>
    <col min="1" max="1" width="10.28515625" customWidth="1"/>
    <col min="2" max="2" width="9.7109375" customWidth="1"/>
    <col min="3" max="7" width="10.140625" customWidth="1"/>
    <col min="8" max="8" width="8.140625" customWidth="1"/>
    <col min="9" max="10" width="8.42578125" customWidth="1"/>
    <col min="11" max="11" width="9" customWidth="1"/>
    <col min="14" max="14" width="10.140625" bestFit="1" customWidth="1"/>
    <col min="15" max="15" width="12.7109375" bestFit="1" customWidth="1"/>
  </cols>
  <sheetData>
    <row r="1" spans="1:15" ht="14.8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5" ht="14.85" customHeight="1" x14ac:dyDescent="0.25">
      <c r="A2" s="7" t="s">
        <v>1</v>
      </c>
      <c r="B2" s="9" t="s">
        <v>2</v>
      </c>
      <c r="C2" s="9"/>
      <c r="D2" s="9"/>
      <c r="E2" s="11" t="s">
        <v>3</v>
      </c>
      <c r="F2" s="11"/>
      <c r="G2" s="11"/>
      <c r="H2" s="15" t="s">
        <v>4</v>
      </c>
      <c r="I2" s="11"/>
      <c r="J2" s="16"/>
      <c r="K2" s="14"/>
    </row>
    <row r="3" spans="1:15" ht="14.85" customHeight="1" x14ac:dyDescent="0.25">
      <c r="A3" s="7" t="s">
        <v>1</v>
      </c>
      <c r="B3" s="9" t="s">
        <v>2</v>
      </c>
      <c r="C3" s="10"/>
      <c r="D3" s="10"/>
      <c r="E3" s="11" t="s">
        <v>3</v>
      </c>
      <c r="F3" s="10"/>
      <c r="G3" s="10"/>
      <c r="H3" s="17"/>
      <c r="I3" s="18"/>
      <c r="J3" s="19"/>
      <c r="K3" s="1"/>
      <c r="M3" t="s">
        <v>27</v>
      </c>
      <c r="N3" s="20">
        <v>17563749</v>
      </c>
    </row>
    <row r="4" spans="1:15" ht="14.85" customHeight="1" x14ac:dyDescent="0.25">
      <c r="A4" s="8" t="s">
        <v>1</v>
      </c>
      <c r="B4" s="2" t="s">
        <v>5</v>
      </c>
      <c r="C4" s="2" t="s">
        <v>6</v>
      </c>
      <c r="D4" s="2" t="s">
        <v>7</v>
      </c>
      <c r="E4" s="2" t="s">
        <v>5</v>
      </c>
      <c r="F4" s="2" t="s">
        <v>6</v>
      </c>
      <c r="G4" s="2" t="s">
        <v>7</v>
      </c>
      <c r="H4" s="2" t="s">
        <v>5</v>
      </c>
      <c r="I4" s="2" t="s">
        <v>6</v>
      </c>
      <c r="J4" s="2" t="s">
        <v>7</v>
      </c>
      <c r="K4" s="2" t="s">
        <v>5</v>
      </c>
    </row>
    <row r="5" spans="1:15" ht="14.85" customHeight="1" x14ac:dyDescent="0.25">
      <c r="A5" s="2" t="s">
        <v>8</v>
      </c>
      <c r="B5" s="12">
        <v>6614065</v>
      </c>
      <c r="C5" s="12">
        <v>3242280</v>
      </c>
      <c r="D5" s="12">
        <v>3371785</v>
      </c>
      <c r="E5" s="12">
        <v>5389463</v>
      </c>
      <c r="F5" s="12">
        <v>2702506</v>
      </c>
      <c r="G5" s="12">
        <v>2686957</v>
      </c>
      <c r="H5" s="12">
        <v>77235</v>
      </c>
      <c r="I5" s="12">
        <v>54231</v>
      </c>
      <c r="J5" s="12">
        <v>23004</v>
      </c>
      <c r="K5" s="12">
        <v>710851</v>
      </c>
      <c r="M5" s="21" t="s">
        <v>21</v>
      </c>
      <c r="N5" s="21" t="s">
        <v>22</v>
      </c>
      <c r="O5" s="21" t="s">
        <v>23</v>
      </c>
    </row>
    <row r="6" spans="1:15" ht="14.85" customHeight="1" x14ac:dyDescent="0.25">
      <c r="A6" s="3" t="s">
        <v>9</v>
      </c>
      <c r="B6" s="13">
        <v>784945</v>
      </c>
      <c r="C6" s="13">
        <v>362617</v>
      </c>
      <c r="D6" s="13">
        <v>422328</v>
      </c>
      <c r="E6" s="13">
        <v>439183</v>
      </c>
      <c r="F6" s="13">
        <v>200059</v>
      </c>
      <c r="G6" s="13">
        <v>239124</v>
      </c>
      <c r="H6" s="13">
        <v>4210</v>
      </c>
      <c r="I6" s="13">
        <v>2580</v>
      </c>
      <c r="J6" s="13">
        <v>1630</v>
      </c>
      <c r="K6" s="13">
        <v>26804</v>
      </c>
      <c r="M6" t="s">
        <v>24</v>
      </c>
      <c r="N6" t="s">
        <v>6</v>
      </c>
      <c r="O6" s="22">
        <f>+SUM(C18:C24)/N3</f>
        <v>3.2332334059203417E-2</v>
      </c>
    </row>
    <row r="7" spans="1:15" ht="14.85" customHeight="1" x14ac:dyDescent="0.25">
      <c r="A7" s="3" t="s">
        <v>10</v>
      </c>
      <c r="B7" s="13">
        <v>1154644</v>
      </c>
      <c r="C7" s="13">
        <v>539232</v>
      </c>
      <c r="D7" s="13">
        <v>615412</v>
      </c>
      <c r="E7" s="13">
        <v>805468</v>
      </c>
      <c r="F7" s="13">
        <v>379266</v>
      </c>
      <c r="G7" s="13">
        <v>426202</v>
      </c>
      <c r="H7" s="13">
        <v>10659</v>
      </c>
      <c r="I7" s="13">
        <v>7059</v>
      </c>
      <c r="J7" s="13">
        <v>3600</v>
      </c>
      <c r="K7" s="13">
        <v>97552</v>
      </c>
      <c r="M7" t="s">
        <v>24</v>
      </c>
      <c r="N7" t="s">
        <v>7</v>
      </c>
      <c r="O7" s="22">
        <f>+SUM(D18:D24)/N3</f>
        <v>2.7918185348697479E-2</v>
      </c>
    </row>
    <row r="8" spans="1:15" ht="14.85" customHeight="1" x14ac:dyDescent="0.25">
      <c r="A8" s="3" t="s">
        <v>11</v>
      </c>
      <c r="B8" s="13">
        <v>991838</v>
      </c>
      <c r="C8" s="13">
        <v>488024</v>
      </c>
      <c r="D8" s="13">
        <v>503814</v>
      </c>
      <c r="E8" s="13">
        <v>807826</v>
      </c>
      <c r="F8" s="13">
        <v>411491</v>
      </c>
      <c r="G8" s="13">
        <v>396335</v>
      </c>
      <c r="H8" s="13">
        <v>12924</v>
      </c>
      <c r="I8" s="13">
        <v>8790</v>
      </c>
      <c r="J8" s="13">
        <v>4134</v>
      </c>
      <c r="K8" s="13">
        <v>128298</v>
      </c>
      <c r="M8" t="s">
        <v>24</v>
      </c>
      <c r="N8" t="s">
        <v>5</v>
      </c>
      <c r="O8" s="23">
        <f>+SUM(B18:B24)/N3</f>
        <v>6.0250519407900896E-2</v>
      </c>
    </row>
    <row r="9" spans="1:15" ht="14.85" customHeight="1" x14ac:dyDescent="0.25">
      <c r="A9" s="3" t="s">
        <v>12</v>
      </c>
      <c r="B9" s="13">
        <v>934489</v>
      </c>
      <c r="C9" s="13">
        <v>455222</v>
      </c>
      <c r="D9" s="13">
        <v>479267</v>
      </c>
      <c r="E9" s="13">
        <v>810177</v>
      </c>
      <c r="F9" s="13">
        <v>408089</v>
      </c>
      <c r="G9" s="13">
        <v>402088</v>
      </c>
      <c r="H9" s="13">
        <v>13224</v>
      </c>
      <c r="I9" s="13">
        <v>9329</v>
      </c>
      <c r="J9" s="13">
        <v>3895</v>
      </c>
      <c r="K9" s="13">
        <v>126832</v>
      </c>
      <c r="M9" t="s">
        <v>25</v>
      </c>
      <c r="N9" t="s">
        <v>6</v>
      </c>
      <c r="O9" s="22">
        <f>+SUM(C30:C36)/N3</f>
        <v>0.12959960883066593</v>
      </c>
    </row>
    <row r="10" spans="1:15" ht="14.85" customHeight="1" x14ac:dyDescent="0.25">
      <c r="A10" s="3" t="s">
        <v>13</v>
      </c>
      <c r="B10" s="13">
        <v>835102</v>
      </c>
      <c r="C10" s="13">
        <v>419141</v>
      </c>
      <c r="D10" s="13">
        <v>415961</v>
      </c>
      <c r="E10" s="13">
        <v>745594</v>
      </c>
      <c r="F10" s="13">
        <v>383457</v>
      </c>
      <c r="G10" s="13">
        <v>362137</v>
      </c>
      <c r="H10" s="13">
        <v>11648</v>
      </c>
      <c r="I10" s="13">
        <v>8205</v>
      </c>
      <c r="J10" s="13">
        <v>3443</v>
      </c>
      <c r="K10" s="13">
        <v>110852</v>
      </c>
      <c r="M10" t="s">
        <v>25</v>
      </c>
      <c r="N10" t="s">
        <v>7</v>
      </c>
      <c r="O10" s="22">
        <f>+SUM(D30:D36)/N3</f>
        <v>0.14072787079797144</v>
      </c>
    </row>
    <row r="11" spans="1:15" ht="14.85" customHeight="1" x14ac:dyDescent="0.25">
      <c r="A11" s="3" t="s">
        <v>14</v>
      </c>
      <c r="B11" s="13">
        <v>636333</v>
      </c>
      <c r="C11" s="13">
        <v>331767</v>
      </c>
      <c r="D11" s="13">
        <v>304566</v>
      </c>
      <c r="E11" s="13">
        <v>580796</v>
      </c>
      <c r="F11" s="13">
        <v>308335</v>
      </c>
      <c r="G11" s="13">
        <v>272461</v>
      </c>
      <c r="H11" s="13">
        <v>8979</v>
      </c>
      <c r="I11" s="13">
        <v>6532</v>
      </c>
      <c r="J11" s="13">
        <v>2447</v>
      </c>
      <c r="K11" s="13">
        <v>84479</v>
      </c>
      <c r="M11" t="s">
        <v>25</v>
      </c>
      <c r="N11" t="s">
        <v>5</v>
      </c>
      <c r="O11" s="22">
        <f>+SUM(B30:B36)/N3</f>
        <v>0.27032747962863735</v>
      </c>
    </row>
    <row r="12" spans="1:15" ht="14.85" customHeight="1" x14ac:dyDescent="0.25">
      <c r="A12" s="3" t="s">
        <v>15</v>
      </c>
      <c r="B12" s="13">
        <v>468838</v>
      </c>
      <c r="C12" s="13">
        <v>248129</v>
      </c>
      <c r="D12" s="13">
        <v>220709</v>
      </c>
      <c r="E12" s="13">
        <v>434145</v>
      </c>
      <c r="F12" s="13">
        <v>232715</v>
      </c>
      <c r="G12" s="13">
        <v>201430</v>
      </c>
      <c r="H12" s="13">
        <v>6497</v>
      </c>
      <c r="I12" s="13">
        <v>4884</v>
      </c>
      <c r="J12" s="13">
        <v>1613</v>
      </c>
      <c r="K12" s="13">
        <v>59778</v>
      </c>
      <c r="M12" t="s">
        <v>26</v>
      </c>
      <c r="N12" t="s">
        <v>6</v>
      </c>
      <c r="O12" s="24">
        <f>+SUM(C6:C12)/N3</f>
        <v>0.16193194288986937</v>
      </c>
    </row>
    <row r="13" spans="1:15" ht="14.85" customHeight="1" x14ac:dyDescent="0.25">
      <c r="A13" s="3" t="s">
        <v>16</v>
      </c>
      <c r="B13" s="13">
        <v>339016</v>
      </c>
      <c r="C13" s="13">
        <v>171289</v>
      </c>
      <c r="D13" s="13">
        <v>167727</v>
      </c>
      <c r="E13" s="13">
        <v>318758</v>
      </c>
      <c r="F13" s="13">
        <v>162360</v>
      </c>
      <c r="G13" s="13">
        <v>156398</v>
      </c>
      <c r="H13" s="13">
        <v>4431</v>
      </c>
      <c r="I13" s="13">
        <v>3332</v>
      </c>
      <c r="J13" s="13">
        <v>1099</v>
      </c>
      <c r="K13" s="13">
        <v>38958</v>
      </c>
      <c r="M13" t="s">
        <v>26</v>
      </c>
      <c r="N13" t="s">
        <v>7</v>
      </c>
      <c r="O13" s="24">
        <f>+SUM(D6:D12)/N3</f>
        <v>0.16864605614666892</v>
      </c>
    </row>
    <row r="14" spans="1:15" ht="14.85" customHeight="1" x14ac:dyDescent="0.25">
      <c r="A14" s="3" t="s">
        <v>17</v>
      </c>
      <c r="B14" s="13">
        <v>266898</v>
      </c>
      <c r="C14" s="13">
        <v>130263</v>
      </c>
      <c r="D14" s="13">
        <v>136635</v>
      </c>
      <c r="E14" s="13">
        <v>253542</v>
      </c>
      <c r="F14" s="13">
        <v>124079</v>
      </c>
      <c r="G14" s="13">
        <v>129463</v>
      </c>
      <c r="H14" s="13">
        <v>2894</v>
      </c>
      <c r="I14" s="13">
        <v>2156</v>
      </c>
      <c r="J14" s="5">
        <v>738</v>
      </c>
      <c r="K14" s="13">
        <v>24566</v>
      </c>
      <c r="M14" t="s">
        <v>26</v>
      </c>
      <c r="N14" t="s">
        <v>5</v>
      </c>
      <c r="O14" s="24">
        <f>+SUM(B6:B12)/N3</f>
        <v>0.33057799903653828</v>
      </c>
    </row>
    <row r="15" spans="1:15" ht="14.85" customHeight="1" x14ac:dyDescent="0.25">
      <c r="A15" s="3" t="s">
        <v>18</v>
      </c>
      <c r="B15" s="13">
        <v>201962</v>
      </c>
      <c r="C15" s="13">
        <v>96596</v>
      </c>
      <c r="D15" s="13">
        <v>105366</v>
      </c>
      <c r="E15" s="13">
        <v>193974</v>
      </c>
      <c r="F15" s="13">
        <v>92655</v>
      </c>
      <c r="G15" s="13">
        <v>101319</v>
      </c>
      <c r="H15" s="13">
        <v>1769</v>
      </c>
      <c r="I15" s="13">
        <v>1364</v>
      </c>
      <c r="J15" s="5">
        <v>405</v>
      </c>
      <c r="K15" s="13">
        <v>12732</v>
      </c>
    </row>
    <row r="16" spans="1:15" ht="14.8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4.85" customHeight="1" x14ac:dyDescent="0.25">
      <c r="A17" s="2" t="s">
        <v>19</v>
      </c>
      <c r="B17" s="12">
        <v>1160509</v>
      </c>
      <c r="C17" s="12">
        <v>627846</v>
      </c>
      <c r="D17" s="12">
        <v>532663</v>
      </c>
      <c r="E17" s="12">
        <v>906745</v>
      </c>
      <c r="F17" s="12">
        <v>532988</v>
      </c>
      <c r="G17" s="12">
        <v>373757</v>
      </c>
      <c r="H17" s="12">
        <v>22681</v>
      </c>
      <c r="I17" s="12">
        <v>15954</v>
      </c>
      <c r="J17" s="12">
        <v>6727</v>
      </c>
      <c r="K17" s="12">
        <v>350047</v>
      </c>
    </row>
    <row r="18" spans="1:11" ht="14.85" customHeight="1" x14ac:dyDescent="0.25">
      <c r="A18" s="3" t="s">
        <v>9</v>
      </c>
      <c r="B18" s="13">
        <v>86842</v>
      </c>
      <c r="C18" s="13">
        <v>40945</v>
      </c>
      <c r="D18" s="13">
        <v>45897</v>
      </c>
      <c r="E18" s="13">
        <v>35960</v>
      </c>
      <c r="F18" s="13">
        <v>19520</v>
      </c>
      <c r="G18" s="13">
        <v>16440</v>
      </c>
      <c r="H18" s="5">
        <v>630</v>
      </c>
      <c r="I18" s="5">
        <v>383</v>
      </c>
      <c r="J18" s="5">
        <v>247</v>
      </c>
      <c r="K18" s="13">
        <v>8946</v>
      </c>
    </row>
    <row r="19" spans="1:11" ht="14.85" customHeight="1" x14ac:dyDescent="0.25">
      <c r="A19" s="3" t="s">
        <v>10</v>
      </c>
      <c r="B19" s="13">
        <v>206244</v>
      </c>
      <c r="C19" s="13">
        <v>101702</v>
      </c>
      <c r="D19" s="13">
        <v>104542</v>
      </c>
      <c r="E19" s="13">
        <v>122452</v>
      </c>
      <c r="F19" s="13">
        <v>68805</v>
      </c>
      <c r="G19" s="13">
        <v>53647</v>
      </c>
      <c r="H19" s="13">
        <v>2775</v>
      </c>
      <c r="I19" s="13">
        <v>1797</v>
      </c>
      <c r="J19" s="5">
        <v>978</v>
      </c>
      <c r="K19" s="13">
        <v>46700</v>
      </c>
    </row>
    <row r="20" spans="1:11" ht="14.85" customHeight="1" x14ac:dyDescent="0.25">
      <c r="A20" s="3" t="s">
        <v>11</v>
      </c>
      <c r="B20" s="13">
        <v>205811</v>
      </c>
      <c r="C20" s="13">
        <v>108431</v>
      </c>
      <c r="D20" s="13">
        <v>97380</v>
      </c>
      <c r="E20" s="13">
        <v>157967</v>
      </c>
      <c r="F20" s="13">
        <v>91606</v>
      </c>
      <c r="G20" s="13">
        <v>66361</v>
      </c>
      <c r="H20" s="13">
        <v>3933</v>
      </c>
      <c r="I20" s="13">
        <v>2661</v>
      </c>
      <c r="J20" s="13">
        <v>1272</v>
      </c>
      <c r="K20" s="13">
        <v>65574</v>
      </c>
    </row>
    <row r="21" spans="1:11" ht="14.85" customHeight="1" x14ac:dyDescent="0.25">
      <c r="A21" s="3" t="s">
        <v>12</v>
      </c>
      <c r="B21" s="13">
        <v>196560</v>
      </c>
      <c r="C21" s="13">
        <v>105151</v>
      </c>
      <c r="D21" s="13">
        <v>91409</v>
      </c>
      <c r="E21" s="13">
        <v>166245</v>
      </c>
      <c r="F21" s="13">
        <v>95954</v>
      </c>
      <c r="G21" s="13">
        <v>70291</v>
      </c>
      <c r="H21" s="13">
        <v>4224</v>
      </c>
      <c r="I21" s="13">
        <v>2920</v>
      </c>
      <c r="J21" s="13">
        <v>1304</v>
      </c>
      <c r="K21" s="13">
        <v>66000</v>
      </c>
    </row>
    <row r="22" spans="1:11" ht="14.85" customHeight="1" x14ac:dyDescent="0.25">
      <c r="A22" s="3" t="s">
        <v>13</v>
      </c>
      <c r="B22" s="13">
        <v>170318</v>
      </c>
      <c r="C22" s="13">
        <v>95546</v>
      </c>
      <c r="D22" s="13">
        <v>74772</v>
      </c>
      <c r="E22" s="13">
        <v>150720</v>
      </c>
      <c r="F22" s="13">
        <v>89279</v>
      </c>
      <c r="G22" s="13">
        <v>61441</v>
      </c>
      <c r="H22" s="13">
        <v>3909</v>
      </c>
      <c r="I22" s="13">
        <v>2740</v>
      </c>
      <c r="J22" s="13">
        <v>1169</v>
      </c>
      <c r="K22" s="13">
        <v>58622</v>
      </c>
    </row>
    <row r="23" spans="1:11" ht="14.85" customHeight="1" x14ac:dyDescent="0.25">
      <c r="A23" s="3" t="s">
        <v>14</v>
      </c>
      <c r="B23" s="13">
        <v>118963</v>
      </c>
      <c r="C23" s="13">
        <v>71016</v>
      </c>
      <c r="D23" s="13">
        <v>47947</v>
      </c>
      <c r="E23" s="13">
        <v>108541</v>
      </c>
      <c r="F23" s="13">
        <v>67205</v>
      </c>
      <c r="G23" s="13">
        <v>41336</v>
      </c>
      <c r="H23" s="13">
        <v>2930</v>
      </c>
      <c r="I23" s="13">
        <v>2185</v>
      </c>
      <c r="J23" s="5">
        <v>745</v>
      </c>
      <c r="K23" s="13">
        <v>43117</v>
      </c>
    </row>
    <row r="24" spans="1:11" ht="14.85" customHeight="1" x14ac:dyDescent="0.25">
      <c r="A24" s="3" t="s">
        <v>15</v>
      </c>
      <c r="B24" s="13">
        <v>73487</v>
      </c>
      <c r="C24" s="13">
        <v>45086</v>
      </c>
      <c r="D24" s="13">
        <v>28401</v>
      </c>
      <c r="E24" s="13">
        <v>68086</v>
      </c>
      <c r="F24" s="13">
        <v>42954</v>
      </c>
      <c r="G24" s="13">
        <v>25132</v>
      </c>
      <c r="H24" s="13">
        <v>1819</v>
      </c>
      <c r="I24" s="13">
        <v>1391</v>
      </c>
      <c r="J24" s="5">
        <v>428</v>
      </c>
      <c r="K24" s="13">
        <v>27611</v>
      </c>
    </row>
    <row r="25" spans="1:11" ht="14.85" customHeight="1" x14ac:dyDescent="0.25">
      <c r="A25" s="3" t="s">
        <v>16</v>
      </c>
      <c r="B25" s="13">
        <v>48123</v>
      </c>
      <c r="C25" s="13">
        <v>28412</v>
      </c>
      <c r="D25" s="13">
        <v>19711</v>
      </c>
      <c r="E25" s="13">
        <v>45276</v>
      </c>
      <c r="F25" s="13">
        <v>27306</v>
      </c>
      <c r="G25" s="13">
        <v>17970</v>
      </c>
      <c r="H25" s="13">
        <v>1265</v>
      </c>
      <c r="I25" s="5">
        <v>964</v>
      </c>
      <c r="J25" s="5">
        <v>301</v>
      </c>
      <c r="K25" s="13">
        <v>17611</v>
      </c>
    </row>
    <row r="26" spans="1:11" ht="14.85" customHeight="1" x14ac:dyDescent="0.25">
      <c r="A26" s="3" t="s">
        <v>17</v>
      </c>
      <c r="B26" s="13">
        <v>32032</v>
      </c>
      <c r="C26" s="13">
        <v>18454</v>
      </c>
      <c r="D26" s="13">
        <v>13578</v>
      </c>
      <c r="E26" s="13">
        <v>30385</v>
      </c>
      <c r="F26" s="13">
        <v>17773</v>
      </c>
      <c r="G26" s="13">
        <v>12612</v>
      </c>
      <c r="H26" s="5">
        <v>720</v>
      </c>
      <c r="I26" s="5">
        <v>522</v>
      </c>
      <c r="J26" s="5">
        <v>198</v>
      </c>
      <c r="K26" s="13">
        <v>10596</v>
      </c>
    </row>
    <row r="27" spans="1:11" ht="14.85" customHeight="1" x14ac:dyDescent="0.25">
      <c r="A27" s="3" t="s">
        <v>18</v>
      </c>
      <c r="B27" s="13">
        <v>22129</v>
      </c>
      <c r="C27" s="13">
        <v>13103</v>
      </c>
      <c r="D27" s="13">
        <v>9026</v>
      </c>
      <c r="E27" s="13">
        <v>21113</v>
      </c>
      <c r="F27" s="13">
        <v>12586</v>
      </c>
      <c r="G27" s="13">
        <v>8527</v>
      </c>
      <c r="H27" s="5">
        <v>476</v>
      </c>
      <c r="I27" s="5">
        <v>391</v>
      </c>
      <c r="J27" s="5">
        <v>85</v>
      </c>
      <c r="K27" s="13">
        <v>5270</v>
      </c>
    </row>
    <row r="28" spans="1:11" ht="14.8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4.85" customHeight="1" x14ac:dyDescent="0.25">
      <c r="A29" s="2" t="s">
        <v>20</v>
      </c>
      <c r="B29" s="12">
        <v>5453556</v>
      </c>
      <c r="C29" s="12">
        <v>2614434</v>
      </c>
      <c r="D29" s="12">
        <v>2839122</v>
      </c>
      <c r="E29" s="12">
        <v>4482718</v>
      </c>
      <c r="F29" s="12">
        <v>2169518</v>
      </c>
      <c r="G29" s="12">
        <v>2313200</v>
      </c>
      <c r="H29" s="12">
        <v>54554</v>
      </c>
      <c r="I29" s="12">
        <v>38277</v>
      </c>
      <c r="J29" s="12">
        <v>16277</v>
      </c>
      <c r="K29" s="12">
        <v>360804</v>
      </c>
    </row>
    <row r="30" spans="1:11" ht="14.85" customHeight="1" x14ac:dyDescent="0.25">
      <c r="A30" s="3" t="s">
        <v>9</v>
      </c>
      <c r="B30" s="13">
        <v>698103</v>
      </c>
      <c r="C30" s="13">
        <v>321672</v>
      </c>
      <c r="D30" s="13">
        <v>376431</v>
      </c>
      <c r="E30" s="13">
        <v>403223</v>
      </c>
      <c r="F30" s="13">
        <v>180539</v>
      </c>
      <c r="G30" s="13">
        <v>222684</v>
      </c>
      <c r="H30" s="13">
        <v>3580</v>
      </c>
      <c r="I30" s="13">
        <v>2197</v>
      </c>
      <c r="J30" s="13">
        <v>1383</v>
      </c>
      <c r="K30" s="13">
        <v>17858</v>
      </c>
    </row>
    <row r="31" spans="1:11" ht="14.85" customHeight="1" x14ac:dyDescent="0.25">
      <c r="A31" s="3" t="s">
        <v>10</v>
      </c>
      <c r="B31" s="13">
        <v>948400</v>
      </c>
      <c r="C31" s="13">
        <v>437530</v>
      </c>
      <c r="D31" s="13">
        <v>510870</v>
      </c>
      <c r="E31" s="13">
        <v>683016</v>
      </c>
      <c r="F31" s="13">
        <v>310461</v>
      </c>
      <c r="G31" s="13">
        <v>372555</v>
      </c>
      <c r="H31" s="13">
        <v>7884</v>
      </c>
      <c r="I31" s="13">
        <v>5262</v>
      </c>
      <c r="J31" s="13">
        <v>2622</v>
      </c>
      <c r="K31" s="13">
        <v>50852</v>
      </c>
    </row>
    <row r="32" spans="1:11" ht="14.85" customHeight="1" x14ac:dyDescent="0.25">
      <c r="A32" s="3" t="s">
        <v>11</v>
      </c>
      <c r="B32" s="13">
        <v>786027</v>
      </c>
      <c r="C32" s="13">
        <v>379593</v>
      </c>
      <c r="D32" s="13">
        <v>406434</v>
      </c>
      <c r="E32" s="13">
        <v>649859</v>
      </c>
      <c r="F32" s="13">
        <v>319885</v>
      </c>
      <c r="G32" s="13">
        <v>329974</v>
      </c>
      <c r="H32" s="13">
        <v>8991</v>
      </c>
      <c r="I32" s="13">
        <v>6129</v>
      </c>
      <c r="J32" s="13">
        <v>2862</v>
      </c>
      <c r="K32" s="13">
        <v>62724</v>
      </c>
    </row>
    <row r="33" spans="1:11" ht="14.85" customHeight="1" x14ac:dyDescent="0.25">
      <c r="A33" s="3" t="s">
        <v>12</v>
      </c>
      <c r="B33" s="13">
        <v>737929</v>
      </c>
      <c r="C33" s="13">
        <v>350071</v>
      </c>
      <c r="D33" s="13">
        <v>387858</v>
      </c>
      <c r="E33" s="13">
        <v>643932</v>
      </c>
      <c r="F33" s="13">
        <v>312135</v>
      </c>
      <c r="G33" s="13">
        <v>331797</v>
      </c>
      <c r="H33" s="13">
        <v>9000</v>
      </c>
      <c r="I33" s="13">
        <v>6409</v>
      </c>
      <c r="J33" s="13">
        <v>2591</v>
      </c>
      <c r="K33" s="13">
        <v>60832</v>
      </c>
    </row>
    <row r="34" spans="1:11" ht="14.85" customHeight="1" x14ac:dyDescent="0.25">
      <c r="A34" s="3" t="s">
        <v>13</v>
      </c>
      <c r="B34" s="13">
        <v>664784</v>
      </c>
      <c r="C34" s="13">
        <v>323595</v>
      </c>
      <c r="D34" s="13">
        <v>341189</v>
      </c>
      <c r="E34" s="13">
        <v>594874</v>
      </c>
      <c r="F34" s="13">
        <v>294178</v>
      </c>
      <c r="G34" s="13">
        <v>300696</v>
      </c>
      <c r="H34" s="13">
        <v>7739</v>
      </c>
      <c r="I34" s="13">
        <v>5465</v>
      </c>
      <c r="J34" s="13">
        <v>2274</v>
      </c>
      <c r="K34" s="13">
        <v>52230</v>
      </c>
    </row>
    <row r="35" spans="1:11" ht="14.85" customHeight="1" x14ac:dyDescent="0.25">
      <c r="A35" s="3" t="s">
        <v>14</v>
      </c>
      <c r="B35" s="13">
        <v>517370</v>
      </c>
      <c r="C35" s="13">
        <v>260751</v>
      </c>
      <c r="D35" s="13">
        <v>256619</v>
      </c>
      <c r="E35" s="13">
        <v>472255</v>
      </c>
      <c r="F35" s="13">
        <v>241130</v>
      </c>
      <c r="G35" s="13">
        <v>231125</v>
      </c>
      <c r="H35" s="13">
        <v>6049</v>
      </c>
      <c r="I35" s="13">
        <v>4347</v>
      </c>
      <c r="J35" s="13">
        <v>1702</v>
      </c>
      <c r="K35" s="13">
        <v>41362</v>
      </c>
    </row>
    <row r="36" spans="1:11" ht="14.85" customHeight="1" x14ac:dyDescent="0.25">
      <c r="A36" s="3" t="s">
        <v>15</v>
      </c>
      <c r="B36" s="13">
        <v>395351</v>
      </c>
      <c r="C36" s="13">
        <v>203043</v>
      </c>
      <c r="D36" s="13">
        <v>192308</v>
      </c>
      <c r="E36" s="13">
        <v>366059</v>
      </c>
      <c r="F36" s="13">
        <v>189761</v>
      </c>
      <c r="G36" s="13">
        <v>176298</v>
      </c>
      <c r="H36" s="13">
        <v>4678</v>
      </c>
      <c r="I36" s="13">
        <v>3493</v>
      </c>
      <c r="J36" s="13">
        <v>1185</v>
      </c>
      <c r="K36" s="13">
        <v>32167</v>
      </c>
    </row>
    <row r="37" spans="1:11" ht="14.85" customHeight="1" x14ac:dyDescent="0.25">
      <c r="A37" s="3" t="s">
        <v>16</v>
      </c>
      <c r="B37" s="13">
        <v>290893</v>
      </c>
      <c r="C37" s="13">
        <v>142877</v>
      </c>
      <c r="D37" s="13">
        <v>148016</v>
      </c>
      <c r="E37" s="13">
        <v>273482</v>
      </c>
      <c r="F37" s="13">
        <v>135054</v>
      </c>
      <c r="G37" s="13">
        <v>138428</v>
      </c>
      <c r="H37" s="13">
        <v>3166</v>
      </c>
      <c r="I37" s="13">
        <v>2368</v>
      </c>
      <c r="J37" s="5">
        <v>798</v>
      </c>
      <c r="K37" s="13">
        <v>21347</v>
      </c>
    </row>
    <row r="38" spans="1:11" ht="14.85" customHeight="1" x14ac:dyDescent="0.25">
      <c r="A38" s="3" t="s">
        <v>17</v>
      </c>
      <c r="B38" s="13">
        <v>234866</v>
      </c>
      <c r="C38" s="13">
        <v>111809</v>
      </c>
      <c r="D38" s="13">
        <v>123057</v>
      </c>
      <c r="E38" s="13">
        <v>223157</v>
      </c>
      <c r="F38" s="13">
        <v>106306</v>
      </c>
      <c r="G38" s="13">
        <v>116851</v>
      </c>
      <c r="H38" s="13">
        <v>2174</v>
      </c>
      <c r="I38" s="13">
        <v>1634</v>
      </c>
      <c r="J38" s="5">
        <v>540</v>
      </c>
      <c r="K38" s="13">
        <v>13970</v>
      </c>
    </row>
    <row r="39" spans="1:11" ht="14.85" customHeight="1" x14ac:dyDescent="0.25">
      <c r="A39" s="3" t="s">
        <v>18</v>
      </c>
      <c r="B39" s="13">
        <v>179833</v>
      </c>
      <c r="C39" s="13">
        <v>83493</v>
      </c>
      <c r="D39" s="13">
        <v>96340</v>
      </c>
      <c r="E39" s="13">
        <v>172861</v>
      </c>
      <c r="F39" s="13">
        <v>80069</v>
      </c>
      <c r="G39" s="13">
        <v>92792</v>
      </c>
      <c r="H39" s="13">
        <v>1293</v>
      </c>
      <c r="I39" s="5">
        <v>973</v>
      </c>
      <c r="J39" s="5">
        <v>320</v>
      </c>
      <c r="K39" s="13">
        <v>7462</v>
      </c>
    </row>
  </sheetData>
  <mergeCells count="5">
    <mergeCell ref="A1:K1"/>
    <mergeCell ref="A2:A4"/>
    <mergeCell ref="B2:D3"/>
    <mergeCell ref="E2:G3"/>
    <mergeCell ref="H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Heredia Fonseca, Roberto D</cp:lastModifiedBy>
  <dcterms:modified xsi:type="dcterms:W3CDTF">2025-04-29T13:00:28Z</dcterms:modified>
</cp:coreProperties>
</file>