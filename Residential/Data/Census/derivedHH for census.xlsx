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rheredia_ic_ac_uk/Documents/UKPACT/EDeMOS_Malawi/Residential/Data/Census/"/>
    </mc:Choice>
  </mc:AlternateContent>
  <xr:revisionPtr revIDLastSave="90" documentId="13_ncr:1_{7A7264E3-B300-4A81-9E04-4E5E601C4F73}" xr6:coauthVersionLast="47" xr6:coauthVersionMax="47" xr10:uidLastSave="{4D4ABFE1-3974-482C-B174-5F102C49F07C}"/>
  <bookViews>
    <workbookView xWindow="-120" yWindow="-120" windowWidth="29040" windowHeight="17520" xr2:uid="{00000000-000D-0000-FFFF-FFFF00000000}"/>
  </bookViews>
  <sheets>
    <sheet name="Sheet1" sheetId="1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9" i="13" l="1"/>
  <c r="R29" i="13"/>
  <c r="Q30" i="13"/>
  <c r="Q31" i="13"/>
  <c r="R31" i="13"/>
  <c r="Q32" i="13"/>
  <c r="Q33" i="13"/>
  <c r="R33" i="13"/>
  <c r="Q34" i="13"/>
  <c r="R34" i="13"/>
  <c r="Q35" i="13"/>
  <c r="R35" i="13"/>
  <c r="Q36" i="13"/>
  <c r="R36" i="13"/>
  <c r="Q37" i="13"/>
  <c r="R37" i="13"/>
  <c r="Q38" i="13"/>
  <c r="R38" i="13"/>
  <c r="Q39" i="13"/>
  <c r="R39" i="13"/>
  <c r="Q40" i="13"/>
  <c r="R40" i="13"/>
  <c r="R41" i="13"/>
  <c r="R42" i="13"/>
  <c r="R28" i="13"/>
  <c r="Q28" i="13"/>
  <c r="Q17" i="13"/>
  <c r="R17" i="13"/>
  <c r="Q18" i="13"/>
  <c r="R18" i="13"/>
  <c r="Q19" i="13"/>
  <c r="R19" i="13"/>
  <c r="Q20" i="13"/>
  <c r="R20" i="13"/>
  <c r="Q21" i="13"/>
  <c r="Q22" i="13"/>
  <c r="R22" i="13"/>
  <c r="Q23" i="13"/>
  <c r="R23" i="13"/>
  <c r="Q24" i="13"/>
  <c r="R24" i="13"/>
  <c r="R25" i="13"/>
  <c r="R16" i="13"/>
  <c r="Q16" i="13"/>
  <c r="R8" i="13"/>
  <c r="R9" i="13"/>
  <c r="R10" i="13"/>
  <c r="R11" i="13"/>
  <c r="R12" i="13"/>
  <c r="R13" i="13"/>
  <c r="R7" i="13"/>
  <c r="Q8" i="13"/>
  <c r="Q9" i="13"/>
  <c r="Q10" i="13"/>
  <c r="Q11" i="13"/>
  <c r="Q12" i="13"/>
  <c r="Q7" i="13"/>
  <c r="O29" i="13"/>
  <c r="P29" i="13" s="1"/>
  <c r="O30" i="13"/>
  <c r="P30" i="13" s="1"/>
  <c r="O31" i="13"/>
  <c r="O32" i="13"/>
  <c r="O33" i="13"/>
  <c r="O34" i="13"/>
  <c r="P34" i="13" s="1"/>
  <c r="O35" i="13"/>
  <c r="P35" i="13" s="1"/>
  <c r="O36" i="13"/>
  <c r="P36" i="13" s="1"/>
  <c r="O37" i="13"/>
  <c r="P37" i="13" s="1"/>
  <c r="O38" i="13"/>
  <c r="P38" i="13" s="1"/>
  <c r="O39" i="13"/>
  <c r="O40" i="13"/>
  <c r="P40" i="13" s="1"/>
  <c r="O41" i="13"/>
  <c r="P41" i="13" s="1"/>
  <c r="O42" i="13"/>
  <c r="P42" i="13" s="1"/>
  <c r="O28" i="13"/>
  <c r="P28" i="13" s="1"/>
  <c r="O17" i="13"/>
  <c r="O18" i="13"/>
  <c r="O19" i="13"/>
  <c r="P19" i="13" s="1"/>
  <c r="O20" i="13"/>
  <c r="O21" i="13"/>
  <c r="P21" i="13" s="1"/>
  <c r="O22" i="13"/>
  <c r="P22" i="13" s="1"/>
  <c r="O23" i="13"/>
  <c r="P23" i="13" s="1"/>
  <c r="O24" i="13"/>
  <c r="P24" i="13" s="1"/>
  <c r="O25" i="13"/>
  <c r="P25" i="13" s="1"/>
  <c r="O16" i="13"/>
  <c r="O8" i="13"/>
  <c r="P8" i="13" s="1"/>
  <c r="O9" i="13"/>
  <c r="P9" i="13" s="1"/>
  <c r="O10" i="13"/>
  <c r="P10" i="13" s="1"/>
  <c r="O11" i="13"/>
  <c r="O12" i="13"/>
  <c r="P12" i="13" s="1"/>
  <c r="O13" i="13"/>
  <c r="O7" i="13"/>
  <c r="P7" i="13" s="1"/>
  <c r="P31" i="13"/>
  <c r="P32" i="13"/>
  <c r="P33" i="13"/>
  <c r="P39" i="13"/>
  <c r="P17" i="13"/>
  <c r="P18" i="13"/>
  <c r="P20" i="13"/>
  <c r="P16" i="13"/>
  <c r="P11" i="13"/>
  <c r="P13" i="13"/>
</calcChain>
</file>

<file path=xl/sharedStrings.xml><?xml version="1.0" encoding="utf-8"?>
<sst xmlns="http://schemas.openxmlformats.org/spreadsheetml/2006/main" count="89" uniqueCount="47">
  <si>
    <t>Region and District</t>
  </si>
  <si>
    <t>Total</t>
  </si>
  <si>
    <t>Male</t>
  </si>
  <si>
    <t>Female</t>
  </si>
  <si>
    <t>Malawi</t>
  </si>
  <si>
    <t>Urban</t>
  </si>
  <si>
    <t>Rural</t>
  </si>
  <si>
    <t>Northern</t>
  </si>
  <si>
    <t>Central</t>
  </si>
  <si>
    <t>Southern</t>
  </si>
  <si>
    <t>Chitipa</t>
  </si>
  <si>
    <t>Karonga</t>
  </si>
  <si>
    <t>Nkhata Bay</t>
  </si>
  <si>
    <t>Rumphi</t>
  </si>
  <si>
    <t>Mzimba</t>
  </si>
  <si>
    <t>Likoma</t>
  </si>
  <si>
    <t>Mzuzu City</t>
  </si>
  <si>
    <t>Kasungu</t>
  </si>
  <si>
    <t>Dowa</t>
  </si>
  <si>
    <t>Salima</t>
  </si>
  <si>
    <t>Lilongwe</t>
  </si>
  <si>
    <t>Mchinji</t>
  </si>
  <si>
    <t>Dedza</t>
  </si>
  <si>
    <t>Ntcheu</t>
  </si>
  <si>
    <t>Lilongwe City</t>
  </si>
  <si>
    <t>Ntchisi</t>
  </si>
  <si>
    <t>Mangochi</t>
  </si>
  <si>
    <t>Nsanje</t>
  </si>
  <si>
    <t>Blantyre City</t>
  </si>
  <si>
    <t>Zomba</t>
  </si>
  <si>
    <t>Thyolo</t>
  </si>
  <si>
    <t>Mulanje</t>
  </si>
  <si>
    <t>Phalombe</t>
  </si>
  <si>
    <t>Neno</t>
  </si>
  <si>
    <t>Mwanza</t>
  </si>
  <si>
    <t>Nkhotakota</t>
  </si>
  <si>
    <t>Machinga</t>
  </si>
  <si>
    <t>Chiradzulu</t>
  </si>
  <si>
    <t>Chikwawa</t>
  </si>
  <si>
    <t>Balaka</t>
  </si>
  <si>
    <t>Zomba City</t>
  </si>
  <si>
    <t>Table A3: Population of Malawi by Sex for Urban/Rural at National, Region and District, 2018</t>
  </si>
  <si>
    <t>Blantyre</t>
  </si>
  <si>
    <t xml:space="preserve"> Neno</t>
  </si>
  <si>
    <t>HH_total</t>
  </si>
  <si>
    <t>HH_rural</t>
  </si>
  <si>
    <t>HH_urban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</si>
</sst>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9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</cellStyleXfs>
  <cellXfs count="35">
    <xf numFmtId="0" fontId="0" fillId="0" borderId="0" xfId="0"/>
    <xf numFmtId="0" fontId="5" fillId="0" borderId="0" xfId="0" applyFont="1"/>
    <xf numFmtId="0" fontId="4" fillId="0" borderId="0" xfId="0" applyFont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1" fillId="0" borderId="0" xfId="2" applyFont="1"/>
    <xf numFmtId="0" fontId="7" fillId="0" borderId="0" xfId="0" applyFont="1"/>
    <xf numFmtId="0" fontId="4" fillId="0" borderId="15" xfId="0" applyFont="1" applyBorder="1"/>
    <xf numFmtId="164" fontId="4" fillId="0" borderId="15" xfId="1" applyNumberFormat="1" applyFont="1" applyBorder="1"/>
    <xf numFmtId="0" fontId="4" fillId="0" borderId="0" xfId="0" applyFont="1"/>
    <xf numFmtId="0" fontId="4" fillId="0" borderId="14" xfId="0" applyFont="1" applyBorder="1"/>
    <xf numFmtId="164" fontId="4" fillId="0" borderId="14" xfId="1" applyNumberFormat="1" applyFont="1" applyBorder="1"/>
    <xf numFmtId="0" fontId="8" fillId="0" borderId="14" xfId="0" applyFont="1" applyBorder="1"/>
    <xf numFmtId="0" fontId="5" fillId="0" borderId="14" xfId="0" applyFont="1" applyBorder="1"/>
    <xf numFmtId="164" fontId="5" fillId="0" borderId="14" xfId="1" applyNumberFormat="1" applyFont="1" applyBorder="1"/>
    <xf numFmtId="164" fontId="5" fillId="0" borderId="14" xfId="1" applyNumberFormat="1" applyFont="1" applyBorder="1" applyAlignment="1">
      <alignment horizontal="right"/>
    </xf>
    <xf numFmtId="0" fontId="5" fillId="0" borderId="16" xfId="0" applyFont="1" applyBorder="1"/>
    <xf numFmtId="164" fontId="5" fillId="0" borderId="16" xfId="1" applyNumberFormat="1" applyFont="1" applyBorder="1"/>
    <xf numFmtId="164" fontId="5" fillId="0" borderId="16" xfId="1" applyNumberFormat="1" applyFont="1" applyBorder="1" applyAlignment="1">
      <alignment horizontal="right"/>
    </xf>
    <xf numFmtId="1" fontId="5" fillId="0" borderId="0" xfId="0" applyNumberFormat="1" applyFont="1"/>
    <xf numFmtId="43" fontId="5" fillId="0" borderId="0" xfId="0" applyNumberFormat="1" applyFont="1"/>
    <xf numFmtId="0" fontId="4" fillId="0" borderId="10" xfId="0" applyFont="1" applyBorder="1" applyAlignment="1">
      <alignment horizontal="left"/>
    </xf>
    <xf numFmtId="0" fontId="4" fillId="0" borderId="6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</cellXfs>
  <cellStyles count="4">
    <cellStyle name="Comma" xfId="1" builtinId="3"/>
    <cellStyle name="Comma 2" xfId="3" xr:uid="{00000000-0005-0000-0000-000001000000}"/>
    <cellStyle name="Normal" xfId="0" builtinId="0"/>
    <cellStyle name="Normal 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17DC6-0966-4B4A-9DB0-C1184506C189}">
  <dimension ref="A1:S1002"/>
  <sheetViews>
    <sheetView tabSelected="1" workbookViewId="0">
      <selection activeCell="M42" sqref="M42"/>
    </sheetView>
  </sheetViews>
  <sheetFormatPr defaultColWidth="14.42578125" defaultRowHeight="12.75" x14ac:dyDescent="0.2"/>
  <cols>
    <col min="1" max="1" width="19.42578125" style="1" customWidth="1"/>
    <col min="2" max="2" width="12.7109375" style="1" bestFit="1" customWidth="1"/>
    <col min="3" max="7" width="11.5703125" style="1" bestFit="1" customWidth="1"/>
    <col min="8" max="8" width="12.7109375" style="1" bestFit="1" customWidth="1"/>
    <col min="9" max="10" width="11.5703125" style="1" bestFit="1" customWidth="1"/>
    <col min="11" max="11" width="8.7109375" style="1" customWidth="1"/>
    <col min="12" max="12" width="12.85546875" style="1" bestFit="1" customWidth="1"/>
    <col min="13" max="13" width="13.7109375" style="1" bestFit="1" customWidth="1"/>
    <col min="14" max="14" width="12.5703125" style="1" bestFit="1" customWidth="1"/>
    <col min="15" max="25" width="8.7109375" style="1" customWidth="1"/>
    <col min="26" max="16384" width="14.42578125" style="1"/>
  </cols>
  <sheetData>
    <row r="1" spans="1:18" ht="15.75" customHeight="1" thickBot="1" x14ac:dyDescent="0.25">
      <c r="A1" s="26" t="s">
        <v>41</v>
      </c>
      <c r="B1" s="26"/>
      <c r="C1" s="26"/>
      <c r="D1" s="26"/>
      <c r="E1" s="26"/>
      <c r="F1" s="26"/>
      <c r="G1" s="26"/>
      <c r="H1" s="26"/>
      <c r="I1" s="26"/>
      <c r="J1" s="26"/>
    </row>
    <row r="2" spans="1:18" s="2" customFormat="1" ht="15.75" customHeight="1" thickBot="1" x14ac:dyDescent="0.3">
      <c r="A2" s="27" t="s">
        <v>0</v>
      </c>
      <c r="B2" s="29" t="s">
        <v>1</v>
      </c>
      <c r="C2" s="30"/>
      <c r="D2" s="31"/>
      <c r="E2" s="32" t="s">
        <v>5</v>
      </c>
      <c r="F2" s="33"/>
      <c r="G2" s="34"/>
      <c r="H2" s="32" t="s">
        <v>6</v>
      </c>
      <c r="I2" s="33"/>
      <c r="J2" s="34"/>
    </row>
    <row r="3" spans="1:18" s="9" customFormat="1" ht="15.75" customHeight="1" thickBot="1" x14ac:dyDescent="0.3">
      <c r="A3" s="28"/>
      <c r="B3" s="3" t="s">
        <v>1</v>
      </c>
      <c r="C3" s="4" t="s">
        <v>2</v>
      </c>
      <c r="D3" s="5" t="s">
        <v>3</v>
      </c>
      <c r="E3" s="2" t="s">
        <v>1</v>
      </c>
      <c r="F3" s="6" t="s">
        <v>2</v>
      </c>
      <c r="G3" s="2" t="s">
        <v>3</v>
      </c>
      <c r="H3" s="7" t="s">
        <v>1</v>
      </c>
      <c r="I3" s="6" t="s">
        <v>2</v>
      </c>
      <c r="J3" s="8" t="s">
        <v>3</v>
      </c>
      <c r="L3" s="10"/>
      <c r="M3" s="10" t="s">
        <v>44</v>
      </c>
      <c r="N3" s="11"/>
      <c r="O3" s="9" t="s">
        <v>45</v>
      </c>
      <c r="P3" s="9" t="s">
        <v>46</v>
      </c>
    </row>
    <row r="4" spans="1:18" s="14" customFormat="1" ht="15.75" customHeight="1" x14ac:dyDescent="0.25">
      <c r="A4" s="12" t="s">
        <v>4</v>
      </c>
      <c r="B4" s="13">
        <v>17563749</v>
      </c>
      <c r="C4" s="13">
        <v>8521460</v>
      </c>
      <c r="D4" s="13">
        <v>9042289</v>
      </c>
      <c r="E4" s="13">
        <v>2816492</v>
      </c>
      <c r="F4" s="13">
        <v>1401373</v>
      </c>
      <c r="G4" s="13">
        <v>1415119</v>
      </c>
      <c r="H4" s="13">
        <v>14747257</v>
      </c>
      <c r="I4" s="13">
        <v>7120087</v>
      </c>
      <c r="J4" s="13">
        <v>7627170</v>
      </c>
      <c r="L4" s="10" t="s">
        <v>4</v>
      </c>
      <c r="M4" s="10">
        <v>3984986</v>
      </c>
      <c r="N4" s="10"/>
    </row>
    <row r="5" spans="1:18" s="14" customFormat="1" ht="15.75" customHeight="1" x14ac:dyDescent="0.25">
      <c r="A5" s="15"/>
      <c r="B5" s="16"/>
      <c r="C5" s="16"/>
      <c r="D5" s="16"/>
      <c r="E5" s="16"/>
      <c r="F5" s="16"/>
      <c r="G5" s="16"/>
      <c r="H5" s="16"/>
      <c r="I5" s="16"/>
      <c r="J5" s="16"/>
      <c r="K5" s="11"/>
      <c r="L5" s="10"/>
      <c r="M5" s="10"/>
      <c r="N5" s="10"/>
    </row>
    <row r="6" spans="1:18" s="14" customFormat="1" ht="15.75" customHeight="1" x14ac:dyDescent="0.25">
      <c r="A6" s="17" t="s">
        <v>7</v>
      </c>
      <c r="B6" s="16">
        <v>2289780</v>
      </c>
      <c r="C6" s="16">
        <v>1114497</v>
      </c>
      <c r="D6" s="16">
        <v>1175283</v>
      </c>
      <c r="E6" s="16">
        <v>364675</v>
      </c>
      <c r="F6" s="16">
        <v>178730</v>
      </c>
      <c r="G6" s="16">
        <v>185945</v>
      </c>
      <c r="H6" s="16">
        <v>1925105</v>
      </c>
      <c r="I6" s="16">
        <v>935767</v>
      </c>
      <c r="J6" s="16">
        <v>989338</v>
      </c>
      <c r="L6" s="10" t="s">
        <v>7</v>
      </c>
      <c r="M6" s="10">
        <v>472376</v>
      </c>
      <c r="N6" s="10"/>
    </row>
    <row r="7" spans="1:18" ht="15.75" customHeight="1" x14ac:dyDescent="0.25">
      <c r="A7" s="18" t="s">
        <v>10</v>
      </c>
      <c r="B7" s="19">
        <v>234927</v>
      </c>
      <c r="C7" s="19">
        <v>114392</v>
      </c>
      <c r="D7" s="19">
        <v>120535</v>
      </c>
      <c r="E7" s="19">
        <v>17743</v>
      </c>
      <c r="F7" s="19">
        <v>8667</v>
      </c>
      <c r="G7" s="19">
        <v>9076</v>
      </c>
      <c r="H7" s="19">
        <v>217184</v>
      </c>
      <c r="I7" s="19">
        <v>105725</v>
      </c>
      <c r="J7" s="19">
        <v>111459</v>
      </c>
      <c r="L7" s="10" t="s">
        <v>10</v>
      </c>
      <c r="M7" s="10">
        <v>49661</v>
      </c>
      <c r="O7" s="24">
        <f t="shared" ref="O7:O13" si="0">ROUND(M7*H7/B7,0)</f>
        <v>45910</v>
      </c>
      <c r="P7" s="24">
        <f t="shared" ref="P7:P13" si="1">+M7-O7</f>
        <v>3751</v>
      </c>
      <c r="Q7" s="1">
        <f>+ROUND(H7/O7,1)</f>
        <v>4.7</v>
      </c>
      <c r="R7" s="1">
        <f>+ROUND(E7/P7,1)</f>
        <v>4.7</v>
      </c>
    </row>
    <row r="8" spans="1:18" ht="15.75" customHeight="1" x14ac:dyDescent="0.25">
      <c r="A8" s="18" t="s">
        <v>11</v>
      </c>
      <c r="B8" s="19">
        <v>365028</v>
      </c>
      <c r="C8" s="19">
        <v>176197</v>
      </c>
      <c r="D8" s="19">
        <v>188831</v>
      </c>
      <c r="E8" s="19">
        <v>61609</v>
      </c>
      <c r="F8" s="19">
        <v>29920</v>
      </c>
      <c r="G8" s="19">
        <v>31689</v>
      </c>
      <c r="H8" s="19">
        <v>303419</v>
      </c>
      <c r="I8" s="19">
        <v>146277</v>
      </c>
      <c r="J8" s="19">
        <v>157142</v>
      </c>
      <c r="L8" s="10" t="s">
        <v>11</v>
      </c>
      <c r="M8" s="10">
        <v>74953</v>
      </c>
      <c r="O8" s="24">
        <f t="shared" si="0"/>
        <v>62303</v>
      </c>
      <c r="P8" s="24">
        <f t="shared" si="1"/>
        <v>12650</v>
      </c>
      <c r="Q8" s="1">
        <f t="shared" ref="Q8:Q12" si="2">+ROUND(H8/O8,1)</f>
        <v>4.9000000000000004</v>
      </c>
      <c r="R8" s="1">
        <f t="shared" ref="R8:R13" si="3">+ROUND(E8/P8,1)</f>
        <v>4.9000000000000004</v>
      </c>
    </row>
    <row r="9" spans="1:18" ht="15.75" customHeight="1" x14ac:dyDescent="0.25">
      <c r="A9" s="18" t="s">
        <v>12</v>
      </c>
      <c r="B9" s="19">
        <v>284681</v>
      </c>
      <c r="C9" s="19">
        <v>139341</v>
      </c>
      <c r="D9" s="19">
        <v>145340</v>
      </c>
      <c r="E9" s="19">
        <v>14274</v>
      </c>
      <c r="F9" s="19">
        <v>7014</v>
      </c>
      <c r="G9" s="19">
        <v>7260</v>
      </c>
      <c r="H9" s="19">
        <v>270407</v>
      </c>
      <c r="I9" s="19">
        <v>132327</v>
      </c>
      <c r="J9" s="19">
        <v>138080</v>
      </c>
      <c r="L9" s="10" t="s">
        <v>12</v>
      </c>
      <c r="M9" s="10">
        <v>52056</v>
      </c>
      <c r="O9" s="24">
        <f t="shared" si="0"/>
        <v>49446</v>
      </c>
      <c r="P9" s="24">
        <f t="shared" si="1"/>
        <v>2610</v>
      </c>
      <c r="Q9" s="1">
        <f t="shared" si="2"/>
        <v>5.5</v>
      </c>
      <c r="R9" s="1">
        <f t="shared" si="3"/>
        <v>5.5</v>
      </c>
    </row>
    <row r="10" spans="1:18" ht="15.75" customHeight="1" x14ac:dyDescent="0.25">
      <c r="A10" s="18" t="s">
        <v>13</v>
      </c>
      <c r="B10" s="19">
        <v>229161</v>
      </c>
      <c r="C10" s="19">
        <v>112652</v>
      </c>
      <c r="D10" s="19">
        <v>116509</v>
      </c>
      <c r="E10" s="19">
        <v>22358</v>
      </c>
      <c r="F10" s="19">
        <v>10908</v>
      </c>
      <c r="G10" s="19">
        <v>11450</v>
      </c>
      <c r="H10" s="19">
        <v>206803</v>
      </c>
      <c r="I10" s="19">
        <v>101744</v>
      </c>
      <c r="J10" s="19">
        <v>105059</v>
      </c>
      <c r="L10" s="10" t="s">
        <v>13</v>
      </c>
      <c r="M10" s="10">
        <v>47060</v>
      </c>
      <c r="O10" s="24">
        <f t="shared" si="0"/>
        <v>42469</v>
      </c>
      <c r="P10" s="24">
        <f t="shared" si="1"/>
        <v>4591</v>
      </c>
      <c r="Q10" s="1">
        <f t="shared" si="2"/>
        <v>4.9000000000000004</v>
      </c>
      <c r="R10" s="1">
        <f t="shared" si="3"/>
        <v>4.9000000000000004</v>
      </c>
    </row>
    <row r="11" spans="1:18" ht="15.75" customHeight="1" x14ac:dyDescent="0.25">
      <c r="A11" s="18" t="s">
        <v>14</v>
      </c>
      <c r="B11" s="19">
        <v>940184</v>
      </c>
      <c r="C11" s="19">
        <v>455867</v>
      </c>
      <c r="D11" s="19">
        <v>484317</v>
      </c>
      <c r="E11" s="19">
        <v>26096</v>
      </c>
      <c r="F11" s="19">
        <v>12683</v>
      </c>
      <c r="G11" s="19">
        <v>13413</v>
      </c>
      <c r="H11" s="19">
        <v>914088</v>
      </c>
      <c r="I11" s="19">
        <v>443184</v>
      </c>
      <c r="J11" s="19">
        <v>470904</v>
      </c>
      <c r="L11" s="10" t="s">
        <v>14</v>
      </c>
      <c r="M11" s="10">
        <v>196189</v>
      </c>
      <c r="O11" s="24">
        <f t="shared" si="0"/>
        <v>190744</v>
      </c>
      <c r="P11" s="24">
        <f t="shared" si="1"/>
        <v>5445</v>
      </c>
      <c r="Q11" s="1">
        <f t="shared" si="2"/>
        <v>4.8</v>
      </c>
      <c r="R11" s="1">
        <f t="shared" si="3"/>
        <v>4.8</v>
      </c>
    </row>
    <row r="12" spans="1:18" ht="15.75" customHeight="1" x14ac:dyDescent="0.25">
      <c r="A12" s="18" t="s">
        <v>15</v>
      </c>
      <c r="B12" s="19">
        <v>14527</v>
      </c>
      <c r="C12" s="19">
        <v>7200</v>
      </c>
      <c r="D12" s="19">
        <v>7327</v>
      </c>
      <c r="E12" s="19">
        <v>1323</v>
      </c>
      <c r="F12" s="19">
        <v>690</v>
      </c>
      <c r="G12" s="19">
        <v>633</v>
      </c>
      <c r="H12" s="19">
        <v>13204</v>
      </c>
      <c r="I12" s="19">
        <v>6510</v>
      </c>
      <c r="J12" s="19">
        <v>6694</v>
      </c>
      <c r="L12" s="10" t="s">
        <v>15</v>
      </c>
      <c r="M12" s="10">
        <v>2892</v>
      </c>
      <c r="O12" s="24">
        <f t="shared" si="0"/>
        <v>2629</v>
      </c>
      <c r="P12" s="24">
        <f t="shared" si="1"/>
        <v>263</v>
      </c>
      <c r="Q12" s="1">
        <f t="shared" si="2"/>
        <v>5</v>
      </c>
      <c r="R12" s="1">
        <f t="shared" si="3"/>
        <v>5</v>
      </c>
    </row>
    <row r="13" spans="1:18" ht="15.75" customHeight="1" x14ac:dyDescent="0.25">
      <c r="A13" s="18" t="s">
        <v>16</v>
      </c>
      <c r="B13" s="19">
        <v>221272</v>
      </c>
      <c r="C13" s="19">
        <v>108848</v>
      </c>
      <c r="D13" s="19">
        <v>112424</v>
      </c>
      <c r="E13" s="19">
        <v>221272</v>
      </c>
      <c r="F13" s="19">
        <v>108848</v>
      </c>
      <c r="G13" s="19">
        <v>112424</v>
      </c>
      <c r="H13" s="20">
        <v>0</v>
      </c>
      <c r="I13" s="20">
        <v>0</v>
      </c>
      <c r="J13" s="20">
        <v>0</v>
      </c>
      <c r="L13" s="10" t="s">
        <v>16</v>
      </c>
      <c r="M13" s="10">
        <v>49565</v>
      </c>
      <c r="O13" s="24">
        <f t="shared" si="0"/>
        <v>0</v>
      </c>
      <c r="P13" s="24">
        <f t="shared" si="1"/>
        <v>49565</v>
      </c>
      <c r="Q13" s="1">
        <v>0</v>
      </c>
      <c r="R13" s="1">
        <f t="shared" si="3"/>
        <v>4.5</v>
      </c>
    </row>
    <row r="14" spans="1:18" ht="15.75" customHeight="1" x14ac:dyDescent="0.25">
      <c r="A14" s="18"/>
      <c r="B14" s="19"/>
      <c r="C14" s="19"/>
      <c r="D14" s="19"/>
      <c r="E14" s="19"/>
      <c r="F14" s="19"/>
      <c r="G14" s="19"/>
      <c r="H14" s="20"/>
      <c r="I14" s="20"/>
      <c r="J14" s="20"/>
      <c r="L14" s="10"/>
      <c r="M14" s="10"/>
      <c r="N14" s="10"/>
    </row>
    <row r="15" spans="1:18" s="14" customFormat="1" ht="15.75" customHeight="1" x14ac:dyDescent="0.25">
      <c r="A15" s="17" t="s">
        <v>8</v>
      </c>
      <c r="B15" s="16">
        <v>7523340</v>
      </c>
      <c r="C15" s="16">
        <v>3679556</v>
      </c>
      <c r="D15" s="16">
        <v>3843784</v>
      </c>
      <c r="E15" s="16">
        <v>1298785</v>
      </c>
      <c r="F15" s="16">
        <v>649629</v>
      </c>
      <c r="G15" s="16">
        <v>649156</v>
      </c>
      <c r="H15" s="16">
        <v>6224555</v>
      </c>
      <c r="I15" s="16">
        <v>3029927</v>
      </c>
      <c r="J15" s="16">
        <v>3194628</v>
      </c>
      <c r="L15" s="10" t="s">
        <v>8</v>
      </c>
      <c r="M15" s="10">
        <v>1713010</v>
      </c>
      <c r="N15" s="10"/>
    </row>
    <row r="16" spans="1:18" ht="15.75" customHeight="1" x14ac:dyDescent="0.25">
      <c r="A16" s="18" t="s">
        <v>17</v>
      </c>
      <c r="B16" s="19">
        <v>842953</v>
      </c>
      <c r="C16" s="19">
        <v>417295</v>
      </c>
      <c r="D16" s="19">
        <v>425658</v>
      </c>
      <c r="E16" s="19">
        <v>116718</v>
      </c>
      <c r="F16" s="19">
        <v>57779</v>
      </c>
      <c r="G16" s="19">
        <v>58939</v>
      </c>
      <c r="H16" s="19">
        <v>726235</v>
      </c>
      <c r="I16" s="19">
        <v>359516</v>
      </c>
      <c r="J16" s="19">
        <v>366719</v>
      </c>
      <c r="L16" s="10" t="s">
        <v>17</v>
      </c>
      <c r="M16" s="10">
        <v>179684</v>
      </c>
      <c r="N16" s="10"/>
      <c r="O16" s="24">
        <f t="shared" ref="O16:O25" si="4">ROUND(M16*H16/B16,0)</f>
        <v>154804</v>
      </c>
      <c r="P16" s="24">
        <f t="shared" ref="P16:P25" si="5">+M16-O16</f>
        <v>24880</v>
      </c>
      <c r="Q16" s="1">
        <f>+ROUND(H16/O16,1)</f>
        <v>4.7</v>
      </c>
      <c r="R16" s="1">
        <f>+ROUND(E16/P16,1)</f>
        <v>4.7</v>
      </c>
    </row>
    <row r="17" spans="1:19" ht="15.75" customHeight="1" x14ac:dyDescent="0.25">
      <c r="A17" s="18" t="s">
        <v>35</v>
      </c>
      <c r="B17" s="19">
        <v>393077</v>
      </c>
      <c r="C17" s="19">
        <v>192615</v>
      </c>
      <c r="D17" s="19">
        <v>200462</v>
      </c>
      <c r="E17" s="19">
        <v>28350</v>
      </c>
      <c r="F17" s="19">
        <v>13549</v>
      </c>
      <c r="G17" s="19">
        <v>14801</v>
      </c>
      <c r="H17" s="19">
        <v>364727</v>
      </c>
      <c r="I17" s="19">
        <v>179066</v>
      </c>
      <c r="J17" s="19">
        <v>185661</v>
      </c>
      <c r="L17" s="10" t="s">
        <v>35</v>
      </c>
      <c r="M17" s="10">
        <v>79899</v>
      </c>
      <c r="N17" s="10"/>
      <c r="O17" s="24">
        <f t="shared" si="4"/>
        <v>74136</v>
      </c>
      <c r="P17" s="24">
        <f t="shared" si="5"/>
        <v>5763</v>
      </c>
      <c r="Q17" s="1">
        <f t="shared" ref="Q17:Q24" si="6">+ROUND(H17/O17,1)</f>
        <v>4.9000000000000004</v>
      </c>
      <c r="R17" s="1">
        <f t="shared" ref="R17:R25" si="7">+ROUND(E17/P17,1)</f>
        <v>4.9000000000000004</v>
      </c>
      <c r="S17" s="25"/>
    </row>
    <row r="18" spans="1:19" ht="15.75" customHeight="1" x14ac:dyDescent="0.25">
      <c r="A18" s="18" t="s">
        <v>25</v>
      </c>
      <c r="B18" s="19">
        <v>317069</v>
      </c>
      <c r="C18" s="19">
        <v>154843</v>
      </c>
      <c r="D18" s="19">
        <v>162226</v>
      </c>
      <c r="E18" s="19">
        <v>9357</v>
      </c>
      <c r="F18" s="19">
        <v>4651</v>
      </c>
      <c r="G18" s="19">
        <v>4706</v>
      </c>
      <c r="H18" s="19">
        <v>307712</v>
      </c>
      <c r="I18" s="19">
        <v>150192</v>
      </c>
      <c r="J18" s="19">
        <v>157520</v>
      </c>
      <c r="L18" s="10" t="s">
        <v>25</v>
      </c>
      <c r="M18" s="10">
        <v>70673</v>
      </c>
      <c r="N18" s="10"/>
      <c r="O18" s="24">
        <f t="shared" si="4"/>
        <v>68587</v>
      </c>
      <c r="P18" s="24">
        <f t="shared" si="5"/>
        <v>2086</v>
      </c>
      <c r="Q18" s="1">
        <f t="shared" si="6"/>
        <v>4.5</v>
      </c>
      <c r="R18" s="1">
        <f t="shared" si="7"/>
        <v>4.5</v>
      </c>
    </row>
    <row r="19" spans="1:19" ht="15.75" customHeight="1" x14ac:dyDescent="0.25">
      <c r="A19" s="18" t="s">
        <v>18</v>
      </c>
      <c r="B19" s="19">
        <v>772569</v>
      </c>
      <c r="C19" s="19">
        <v>378160</v>
      </c>
      <c r="D19" s="19">
        <v>394409</v>
      </c>
      <c r="E19" s="19">
        <v>31678</v>
      </c>
      <c r="F19" s="19">
        <v>15635</v>
      </c>
      <c r="G19" s="19">
        <v>16043</v>
      </c>
      <c r="H19" s="19">
        <v>740891</v>
      </c>
      <c r="I19" s="19">
        <v>362525</v>
      </c>
      <c r="J19" s="19">
        <v>378366</v>
      </c>
      <c r="L19" s="10" t="s">
        <v>18</v>
      </c>
      <c r="M19" s="10">
        <v>176252</v>
      </c>
      <c r="N19" s="10"/>
      <c r="O19" s="24">
        <f t="shared" si="4"/>
        <v>169025</v>
      </c>
      <c r="P19" s="24">
        <f t="shared" si="5"/>
        <v>7227</v>
      </c>
      <c r="Q19" s="1">
        <f t="shared" si="6"/>
        <v>4.4000000000000004</v>
      </c>
      <c r="R19" s="1">
        <f t="shared" si="7"/>
        <v>4.4000000000000004</v>
      </c>
    </row>
    <row r="20" spans="1:19" ht="15.75" customHeight="1" x14ac:dyDescent="0.25">
      <c r="A20" s="18" t="s">
        <v>19</v>
      </c>
      <c r="B20" s="19">
        <v>478346</v>
      </c>
      <c r="C20" s="19">
        <v>231931</v>
      </c>
      <c r="D20" s="19">
        <v>246415</v>
      </c>
      <c r="E20" s="19">
        <v>43184</v>
      </c>
      <c r="F20" s="19">
        <v>21225</v>
      </c>
      <c r="G20" s="19">
        <v>21959</v>
      </c>
      <c r="H20" s="19">
        <v>435162</v>
      </c>
      <c r="I20" s="19">
        <v>210706</v>
      </c>
      <c r="J20" s="19">
        <v>224456</v>
      </c>
      <c r="L20" s="10" t="s">
        <v>19</v>
      </c>
      <c r="M20" s="10">
        <v>105558</v>
      </c>
      <c r="N20" s="10"/>
      <c r="O20" s="24">
        <f t="shared" si="4"/>
        <v>96028</v>
      </c>
      <c r="P20" s="24">
        <f t="shared" si="5"/>
        <v>9530</v>
      </c>
      <c r="Q20" s="1">
        <f t="shared" si="6"/>
        <v>4.5</v>
      </c>
      <c r="R20" s="1">
        <f t="shared" si="7"/>
        <v>4.5</v>
      </c>
    </row>
    <row r="21" spans="1:19" ht="15.75" customHeight="1" x14ac:dyDescent="0.25">
      <c r="A21" s="18" t="s">
        <v>20</v>
      </c>
      <c r="B21" s="19">
        <v>1637583</v>
      </c>
      <c r="C21" s="19">
        <v>795428</v>
      </c>
      <c r="D21" s="19">
        <v>842155</v>
      </c>
      <c r="E21" s="20">
        <v>0</v>
      </c>
      <c r="F21" s="20">
        <v>0</v>
      </c>
      <c r="G21" s="20">
        <v>0</v>
      </c>
      <c r="H21" s="19">
        <v>1637583</v>
      </c>
      <c r="I21" s="19">
        <v>795428</v>
      </c>
      <c r="J21" s="19">
        <v>842155</v>
      </c>
      <c r="L21" s="10" t="s">
        <v>20</v>
      </c>
      <c r="M21" s="10">
        <v>384902</v>
      </c>
      <c r="N21" s="10"/>
      <c r="O21" s="24">
        <f t="shared" si="4"/>
        <v>384902</v>
      </c>
      <c r="P21" s="24">
        <f t="shared" si="5"/>
        <v>0</v>
      </c>
      <c r="Q21" s="1">
        <f t="shared" si="6"/>
        <v>4.3</v>
      </c>
      <c r="R21" s="1">
        <v>0</v>
      </c>
    </row>
    <row r="22" spans="1:19" ht="15.75" customHeight="1" x14ac:dyDescent="0.25">
      <c r="A22" s="18" t="s">
        <v>21</v>
      </c>
      <c r="B22" s="19">
        <v>602305</v>
      </c>
      <c r="C22" s="19">
        <v>296786</v>
      </c>
      <c r="D22" s="19">
        <v>305519</v>
      </c>
      <c r="E22" s="19">
        <v>28011</v>
      </c>
      <c r="F22" s="19">
        <v>13938</v>
      </c>
      <c r="G22" s="19">
        <v>14073</v>
      </c>
      <c r="H22" s="19">
        <v>574294</v>
      </c>
      <c r="I22" s="19">
        <v>282848</v>
      </c>
      <c r="J22" s="19">
        <v>291446</v>
      </c>
      <c r="L22" s="10" t="s">
        <v>21</v>
      </c>
      <c r="M22" s="10">
        <v>134799</v>
      </c>
      <c r="N22" s="10"/>
      <c r="O22" s="24">
        <f t="shared" si="4"/>
        <v>128530</v>
      </c>
      <c r="P22" s="24">
        <f t="shared" si="5"/>
        <v>6269</v>
      </c>
      <c r="Q22" s="1">
        <f t="shared" si="6"/>
        <v>4.5</v>
      </c>
      <c r="R22" s="1">
        <f t="shared" si="7"/>
        <v>4.5</v>
      </c>
    </row>
    <row r="23" spans="1:19" ht="15.75" customHeight="1" x14ac:dyDescent="0.25">
      <c r="A23" s="18" t="s">
        <v>22</v>
      </c>
      <c r="B23" s="19">
        <v>830512</v>
      </c>
      <c r="C23" s="19">
        <v>395882</v>
      </c>
      <c r="D23" s="19">
        <v>434630</v>
      </c>
      <c r="E23" s="19">
        <v>30928</v>
      </c>
      <c r="F23" s="19">
        <v>15247</v>
      </c>
      <c r="G23" s="19">
        <v>15681</v>
      </c>
      <c r="H23" s="19">
        <v>799584</v>
      </c>
      <c r="I23" s="19">
        <v>380635</v>
      </c>
      <c r="J23" s="19">
        <v>418949</v>
      </c>
      <c r="L23" s="10" t="s">
        <v>22</v>
      </c>
      <c r="M23" s="10">
        <v>196003</v>
      </c>
      <c r="N23" s="10"/>
      <c r="O23" s="24">
        <f t="shared" si="4"/>
        <v>188704</v>
      </c>
      <c r="P23" s="24">
        <f t="shared" si="5"/>
        <v>7299</v>
      </c>
      <c r="Q23" s="1">
        <f t="shared" si="6"/>
        <v>4.2</v>
      </c>
      <c r="R23" s="1">
        <f t="shared" si="7"/>
        <v>4.2</v>
      </c>
    </row>
    <row r="24" spans="1:19" ht="15.75" customHeight="1" x14ac:dyDescent="0.25">
      <c r="A24" s="18" t="s">
        <v>23</v>
      </c>
      <c r="B24" s="19">
        <v>659608</v>
      </c>
      <c r="C24" s="19">
        <v>319415</v>
      </c>
      <c r="D24" s="19">
        <v>340193</v>
      </c>
      <c r="E24" s="19">
        <v>21241</v>
      </c>
      <c r="F24" s="19">
        <v>10404</v>
      </c>
      <c r="G24" s="19">
        <v>10837</v>
      </c>
      <c r="H24" s="19">
        <v>638367</v>
      </c>
      <c r="I24" s="19">
        <v>309011</v>
      </c>
      <c r="J24" s="19">
        <v>329356</v>
      </c>
      <c r="L24" s="10" t="s">
        <v>23</v>
      </c>
      <c r="M24" s="10">
        <v>154974</v>
      </c>
      <c r="N24" s="10"/>
      <c r="O24" s="24">
        <f t="shared" si="4"/>
        <v>149983</v>
      </c>
      <c r="P24" s="24">
        <f t="shared" si="5"/>
        <v>4991</v>
      </c>
      <c r="Q24" s="1">
        <f t="shared" si="6"/>
        <v>4.3</v>
      </c>
      <c r="R24" s="1">
        <f t="shared" si="7"/>
        <v>4.3</v>
      </c>
    </row>
    <row r="25" spans="1:19" ht="15.75" customHeight="1" x14ac:dyDescent="0.25">
      <c r="A25" s="18" t="s">
        <v>24</v>
      </c>
      <c r="B25" s="19">
        <v>989318</v>
      </c>
      <c r="C25" s="19">
        <v>497201</v>
      </c>
      <c r="D25" s="19">
        <v>492117</v>
      </c>
      <c r="E25" s="19">
        <v>989318</v>
      </c>
      <c r="F25" s="19">
        <v>497201</v>
      </c>
      <c r="G25" s="19">
        <v>492117</v>
      </c>
      <c r="H25" s="20">
        <v>0</v>
      </c>
      <c r="I25" s="20">
        <v>0</v>
      </c>
      <c r="J25" s="20">
        <v>0</v>
      </c>
      <c r="L25" s="10" t="s">
        <v>24</v>
      </c>
      <c r="M25" s="10">
        <v>230266</v>
      </c>
      <c r="N25" s="10"/>
      <c r="O25" s="24">
        <f t="shared" si="4"/>
        <v>0</v>
      </c>
      <c r="P25" s="24">
        <f t="shared" si="5"/>
        <v>230266</v>
      </c>
      <c r="Q25" s="1">
        <v>0</v>
      </c>
      <c r="R25" s="1">
        <f t="shared" si="7"/>
        <v>4.3</v>
      </c>
    </row>
    <row r="26" spans="1:19" ht="15.75" customHeight="1" x14ac:dyDescent="0.25">
      <c r="A26" s="18"/>
      <c r="B26" s="19"/>
      <c r="C26" s="19"/>
      <c r="D26" s="19"/>
      <c r="E26" s="19"/>
      <c r="F26" s="19"/>
      <c r="G26" s="19"/>
      <c r="H26" s="20"/>
      <c r="I26" s="20"/>
      <c r="J26" s="20"/>
      <c r="L26" s="10"/>
      <c r="M26" s="10"/>
      <c r="N26" s="10"/>
    </row>
    <row r="27" spans="1:19" s="14" customFormat="1" ht="15.75" customHeight="1" x14ac:dyDescent="0.25">
      <c r="A27" s="17" t="s">
        <v>9</v>
      </c>
      <c r="B27" s="16">
        <v>7750629</v>
      </c>
      <c r="C27" s="16">
        <v>3727407</v>
      </c>
      <c r="D27" s="16">
        <v>4023222</v>
      </c>
      <c r="E27" s="16">
        <v>1153032</v>
      </c>
      <c r="F27" s="16">
        <v>573014</v>
      </c>
      <c r="G27" s="16">
        <v>580018</v>
      </c>
      <c r="H27" s="16">
        <v>6597597</v>
      </c>
      <c r="I27" s="16">
        <v>3154393</v>
      </c>
      <c r="J27" s="16">
        <v>3443204</v>
      </c>
      <c r="L27" s="10" t="s">
        <v>9</v>
      </c>
      <c r="M27" s="10">
        <v>1799600</v>
      </c>
      <c r="N27" s="10"/>
    </row>
    <row r="28" spans="1:19" ht="15.75" customHeight="1" x14ac:dyDescent="0.25">
      <c r="A28" s="18" t="s">
        <v>26</v>
      </c>
      <c r="B28" s="19">
        <v>1148611</v>
      </c>
      <c r="C28" s="19">
        <v>545500</v>
      </c>
      <c r="D28" s="19">
        <v>603111</v>
      </c>
      <c r="E28" s="19">
        <v>68453</v>
      </c>
      <c r="F28" s="19">
        <v>33321</v>
      </c>
      <c r="G28" s="19">
        <v>35132</v>
      </c>
      <c r="H28" s="19">
        <v>1080158</v>
      </c>
      <c r="I28" s="19">
        <v>512179</v>
      </c>
      <c r="J28" s="19">
        <v>567979</v>
      </c>
      <c r="L28" s="10" t="s">
        <v>26</v>
      </c>
      <c r="M28" s="10">
        <v>252872</v>
      </c>
      <c r="N28" s="10"/>
      <c r="O28" s="24">
        <f t="shared" ref="O28:O42" si="8">ROUND(M28*H28/B28,0)</f>
        <v>237802</v>
      </c>
      <c r="P28" s="24">
        <f t="shared" ref="P28:P42" si="9">+M28-O28</f>
        <v>15070</v>
      </c>
      <c r="Q28" s="1">
        <f>+ROUND(H28/O28,1)</f>
        <v>4.5</v>
      </c>
      <c r="R28" s="1">
        <f>+ROUND(E28/P28,1)</f>
        <v>4.5</v>
      </c>
    </row>
    <row r="29" spans="1:19" ht="15.75" customHeight="1" x14ac:dyDescent="0.25">
      <c r="A29" s="18" t="s">
        <v>36</v>
      </c>
      <c r="B29" s="19">
        <v>735438</v>
      </c>
      <c r="C29" s="19">
        <v>350742</v>
      </c>
      <c r="D29" s="19">
        <v>384696</v>
      </c>
      <c r="E29" s="19">
        <v>25207</v>
      </c>
      <c r="F29" s="19">
        <v>12402</v>
      </c>
      <c r="G29" s="19">
        <v>12805</v>
      </c>
      <c r="H29" s="19">
        <v>710231</v>
      </c>
      <c r="I29" s="19">
        <v>338340</v>
      </c>
      <c r="J29" s="19">
        <v>371891</v>
      </c>
      <c r="L29" s="10" t="s">
        <v>36</v>
      </c>
      <c r="M29" s="10">
        <v>164176</v>
      </c>
      <c r="N29" s="10"/>
      <c r="O29" s="24">
        <f t="shared" si="8"/>
        <v>158549</v>
      </c>
      <c r="P29" s="24">
        <f t="shared" si="9"/>
        <v>5627</v>
      </c>
      <c r="Q29" s="1">
        <f t="shared" ref="Q29:Q40" si="10">+ROUND(H29/O29,1)</f>
        <v>4.5</v>
      </c>
      <c r="R29" s="1">
        <f t="shared" ref="R29:R42" si="11">+ROUND(E29/P29,1)</f>
        <v>4.5</v>
      </c>
    </row>
    <row r="30" spans="1:19" ht="15.75" customHeight="1" x14ac:dyDescent="0.25">
      <c r="A30" s="18" t="s">
        <v>29</v>
      </c>
      <c r="B30" s="19">
        <v>746724</v>
      </c>
      <c r="C30" s="19">
        <v>356718</v>
      </c>
      <c r="D30" s="19">
        <v>390006</v>
      </c>
      <c r="E30" s="20">
        <v>0</v>
      </c>
      <c r="F30" s="20">
        <v>0</v>
      </c>
      <c r="G30" s="20">
        <v>0</v>
      </c>
      <c r="H30" s="19">
        <v>746724</v>
      </c>
      <c r="I30" s="19">
        <v>356718</v>
      </c>
      <c r="J30" s="19">
        <v>390006</v>
      </c>
      <c r="L30" s="10" t="s">
        <v>29</v>
      </c>
      <c r="M30" s="10">
        <v>177681</v>
      </c>
      <c r="N30" s="10"/>
      <c r="O30" s="24">
        <f t="shared" si="8"/>
        <v>177681</v>
      </c>
      <c r="P30" s="24">
        <f t="shared" si="9"/>
        <v>0</v>
      </c>
      <c r="Q30" s="1">
        <f t="shared" si="10"/>
        <v>4.2</v>
      </c>
      <c r="R30" s="1">
        <v>0</v>
      </c>
    </row>
    <row r="31" spans="1:19" ht="15.75" customHeight="1" x14ac:dyDescent="0.25">
      <c r="A31" s="18" t="s">
        <v>37</v>
      </c>
      <c r="B31" s="19">
        <v>356875</v>
      </c>
      <c r="C31" s="19">
        <v>169679</v>
      </c>
      <c r="D31" s="19">
        <v>187196</v>
      </c>
      <c r="E31" s="19">
        <v>2961</v>
      </c>
      <c r="F31" s="19">
        <v>1378</v>
      </c>
      <c r="G31" s="19">
        <v>1583</v>
      </c>
      <c r="H31" s="19">
        <v>353914</v>
      </c>
      <c r="I31" s="19">
        <v>168301</v>
      </c>
      <c r="J31" s="19">
        <v>185613</v>
      </c>
      <c r="L31" s="10" t="s">
        <v>37</v>
      </c>
      <c r="M31" s="10">
        <v>90551</v>
      </c>
      <c r="N31" s="10"/>
      <c r="O31" s="24">
        <f t="shared" si="8"/>
        <v>89800</v>
      </c>
      <c r="P31" s="24">
        <f t="shared" si="9"/>
        <v>751</v>
      </c>
      <c r="Q31" s="1">
        <f t="shared" si="10"/>
        <v>3.9</v>
      </c>
      <c r="R31" s="1">
        <f t="shared" si="11"/>
        <v>3.9</v>
      </c>
    </row>
    <row r="32" spans="1:19" ht="15.75" customHeight="1" x14ac:dyDescent="0.25">
      <c r="A32" s="18" t="s">
        <v>42</v>
      </c>
      <c r="B32" s="19">
        <v>451220</v>
      </c>
      <c r="C32" s="19">
        <v>218464</v>
      </c>
      <c r="D32" s="19">
        <v>232756</v>
      </c>
      <c r="E32" s="20">
        <v>0</v>
      </c>
      <c r="F32" s="20">
        <v>0</v>
      </c>
      <c r="G32" s="20">
        <v>0</v>
      </c>
      <c r="H32" s="19">
        <v>451220</v>
      </c>
      <c r="I32" s="19">
        <v>218464</v>
      </c>
      <c r="J32" s="19">
        <v>232756</v>
      </c>
      <c r="L32" s="10" t="s">
        <v>42</v>
      </c>
      <c r="M32" s="10">
        <v>109963</v>
      </c>
      <c r="N32" s="10"/>
      <c r="O32" s="24">
        <f t="shared" si="8"/>
        <v>109963</v>
      </c>
      <c r="P32" s="24">
        <f t="shared" si="9"/>
        <v>0</v>
      </c>
      <c r="Q32" s="1">
        <f t="shared" si="10"/>
        <v>4.0999999999999996</v>
      </c>
      <c r="R32" s="1">
        <v>0</v>
      </c>
    </row>
    <row r="33" spans="1:18" ht="15.75" customHeight="1" x14ac:dyDescent="0.25">
      <c r="A33" s="18" t="s">
        <v>34</v>
      </c>
      <c r="B33" s="19">
        <v>130949</v>
      </c>
      <c r="C33" s="19">
        <v>63534</v>
      </c>
      <c r="D33" s="19">
        <v>67415</v>
      </c>
      <c r="E33" s="19">
        <v>18039</v>
      </c>
      <c r="F33" s="19">
        <v>8723</v>
      </c>
      <c r="G33" s="19">
        <v>9316</v>
      </c>
      <c r="H33" s="19">
        <v>112910</v>
      </c>
      <c r="I33" s="19">
        <v>54811</v>
      </c>
      <c r="J33" s="19">
        <v>58099</v>
      </c>
      <c r="L33" s="10" t="s">
        <v>34</v>
      </c>
      <c r="M33" s="10">
        <v>30345</v>
      </c>
      <c r="N33" s="10"/>
      <c r="O33" s="24">
        <f t="shared" si="8"/>
        <v>26165</v>
      </c>
      <c r="P33" s="24">
        <f t="shared" si="9"/>
        <v>4180</v>
      </c>
      <c r="Q33" s="1">
        <f t="shared" si="10"/>
        <v>4.3</v>
      </c>
      <c r="R33" s="1">
        <f t="shared" si="11"/>
        <v>4.3</v>
      </c>
    </row>
    <row r="34" spans="1:18" ht="15.75" customHeight="1" x14ac:dyDescent="0.25">
      <c r="A34" s="18" t="s">
        <v>30</v>
      </c>
      <c r="B34" s="19">
        <v>721456</v>
      </c>
      <c r="C34" s="19">
        <v>340759</v>
      </c>
      <c r="D34" s="19">
        <v>380697</v>
      </c>
      <c r="E34" s="19">
        <v>20443</v>
      </c>
      <c r="F34" s="19">
        <v>9818</v>
      </c>
      <c r="G34" s="19">
        <v>10625</v>
      </c>
      <c r="H34" s="19">
        <v>701013</v>
      </c>
      <c r="I34" s="19">
        <v>330941</v>
      </c>
      <c r="J34" s="19">
        <v>370072</v>
      </c>
      <c r="L34" s="10" t="s">
        <v>30</v>
      </c>
      <c r="M34" s="10">
        <v>174104</v>
      </c>
      <c r="N34" s="10"/>
      <c r="O34" s="24">
        <f t="shared" si="8"/>
        <v>169171</v>
      </c>
      <c r="P34" s="24">
        <f t="shared" si="9"/>
        <v>4933</v>
      </c>
      <c r="Q34" s="1">
        <f t="shared" si="10"/>
        <v>4.0999999999999996</v>
      </c>
      <c r="R34" s="1">
        <f t="shared" si="11"/>
        <v>4.0999999999999996</v>
      </c>
    </row>
    <row r="35" spans="1:18" ht="15.75" customHeight="1" x14ac:dyDescent="0.25">
      <c r="A35" s="18" t="s">
        <v>31</v>
      </c>
      <c r="B35" s="19">
        <v>684107</v>
      </c>
      <c r="C35" s="19">
        <v>325115</v>
      </c>
      <c r="D35" s="19">
        <v>358992</v>
      </c>
      <c r="E35" s="19">
        <v>14782</v>
      </c>
      <c r="F35" s="19">
        <v>7148</v>
      </c>
      <c r="G35" s="19">
        <v>7634</v>
      </c>
      <c r="H35" s="19">
        <v>669325</v>
      </c>
      <c r="I35" s="19">
        <v>317967</v>
      </c>
      <c r="J35" s="19">
        <v>351358</v>
      </c>
      <c r="L35" s="10" t="s">
        <v>31</v>
      </c>
      <c r="M35" s="10">
        <v>160147</v>
      </c>
      <c r="N35" s="10"/>
      <c r="O35" s="24">
        <f t="shared" si="8"/>
        <v>156687</v>
      </c>
      <c r="P35" s="24">
        <f t="shared" si="9"/>
        <v>3460</v>
      </c>
      <c r="Q35" s="1">
        <f t="shared" si="10"/>
        <v>4.3</v>
      </c>
      <c r="R35" s="1">
        <f t="shared" si="11"/>
        <v>4.3</v>
      </c>
    </row>
    <row r="36" spans="1:18" ht="15.75" customHeight="1" x14ac:dyDescent="0.25">
      <c r="A36" s="18" t="s">
        <v>32</v>
      </c>
      <c r="B36" s="19">
        <v>429450</v>
      </c>
      <c r="C36" s="19">
        <v>207006</v>
      </c>
      <c r="D36" s="19">
        <v>222444</v>
      </c>
      <c r="E36" s="19">
        <v>6242</v>
      </c>
      <c r="F36" s="19">
        <v>3047</v>
      </c>
      <c r="G36" s="19">
        <v>3195</v>
      </c>
      <c r="H36" s="19">
        <v>423208</v>
      </c>
      <c r="I36" s="19">
        <v>203959</v>
      </c>
      <c r="J36" s="19">
        <v>219249</v>
      </c>
      <c r="L36" s="10" t="s">
        <v>32</v>
      </c>
      <c r="M36" s="10">
        <v>98848</v>
      </c>
      <c r="N36" s="10"/>
      <c r="O36" s="24">
        <f t="shared" si="8"/>
        <v>97411</v>
      </c>
      <c r="P36" s="24">
        <f t="shared" si="9"/>
        <v>1437</v>
      </c>
      <c r="Q36" s="1">
        <f t="shared" si="10"/>
        <v>4.3</v>
      </c>
      <c r="R36" s="1">
        <f t="shared" si="11"/>
        <v>4.3</v>
      </c>
    </row>
    <row r="37" spans="1:18" ht="15.75" customHeight="1" x14ac:dyDescent="0.25">
      <c r="A37" s="18" t="s">
        <v>38</v>
      </c>
      <c r="B37" s="19">
        <v>564684</v>
      </c>
      <c r="C37" s="19">
        <v>276890</v>
      </c>
      <c r="D37" s="19">
        <v>287794</v>
      </c>
      <c r="E37" s="19">
        <v>13146</v>
      </c>
      <c r="F37" s="19">
        <v>6426</v>
      </c>
      <c r="G37" s="19">
        <v>6720</v>
      </c>
      <c r="H37" s="19">
        <v>551538</v>
      </c>
      <c r="I37" s="19">
        <v>270464</v>
      </c>
      <c r="J37" s="19">
        <v>281074</v>
      </c>
      <c r="L37" s="10" t="s">
        <v>38</v>
      </c>
      <c r="M37" s="10">
        <v>127201</v>
      </c>
      <c r="N37" s="10"/>
      <c r="O37" s="24">
        <f t="shared" si="8"/>
        <v>124240</v>
      </c>
      <c r="P37" s="24">
        <f t="shared" si="9"/>
        <v>2961</v>
      </c>
      <c r="Q37" s="1">
        <f t="shared" si="10"/>
        <v>4.4000000000000004</v>
      </c>
      <c r="R37" s="1">
        <f t="shared" si="11"/>
        <v>4.4000000000000004</v>
      </c>
    </row>
    <row r="38" spans="1:18" ht="15.75" customHeight="1" x14ac:dyDescent="0.25">
      <c r="A38" s="18" t="s">
        <v>27</v>
      </c>
      <c r="B38" s="19">
        <v>299168</v>
      </c>
      <c r="C38" s="19">
        <v>143578</v>
      </c>
      <c r="D38" s="19">
        <v>155590</v>
      </c>
      <c r="E38" s="19">
        <v>26844</v>
      </c>
      <c r="F38" s="19">
        <v>12938</v>
      </c>
      <c r="G38" s="19">
        <v>13906</v>
      </c>
      <c r="H38" s="19">
        <v>272324</v>
      </c>
      <c r="I38" s="19">
        <v>130640</v>
      </c>
      <c r="J38" s="19">
        <v>141684</v>
      </c>
      <c r="L38" s="10" t="s">
        <v>27</v>
      </c>
      <c r="M38" s="10">
        <v>63972</v>
      </c>
      <c r="N38" s="10"/>
      <c r="O38" s="24">
        <f t="shared" si="8"/>
        <v>58232</v>
      </c>
      <c r="P38" s="24">
        <f t="shared" si="9"/>
        <v>5740</v>
      </c>
      <c r="Q38" s="1">
        <f t="shared" si="10"/>
        <v>4.7</v>
      </c>
      <c r="R38" s="1">
        <f t="shared" si="11"/>
        <v>4.7</v>
      </c>
    </row>
    <row r="39" spans="1:18" ht="15.75" customHeight="1" x14ac:dyDescent="0.25">
      <c r="A39" s="18" t="s">
        <v>39</v>
      </c>
      <c r="B39" s="19">
        <v>438379</v>
      </c>
      <c r="C39" s="19">
        <v>209274</v>
      </c>
      <c r="D39" s="19">
        <v>229105</v>
      </c>
      <c r="E39" s="19">
        <v>49355</v>
      </c>
      <c r="F39" s="19">
        <v>23886</v>
      </c>
      <c r="G39" s="19">
        <v>25469</v>
      </c>
      <c r="H39" s="19">
        <v>389024</v>
      </c>
      <c r="I39" s="19">
        <v>185388</v>
      </c>
      <c r="J39" s="19">
        <v>203636</v>
      </c>
      <c r="L39" s="10" t="s">
        <v>39</v>
      </c>
      <c r="M39" s="10">
        <v>101575</v>
      </c>
      <c r="N39" s="10"/>
      <c r="O39" s="24">
        <f t="shared" si="8"/>
        <v>90139</v>
      </c>
      <c r="P39" s="24">
        <f t="shared" si="9"/>
        <v>11436</v>
      </c>
      <c r="Q39" s="1">
        <f t="shared" si="10"/>
        <v>4.3</v>
      </c>
      <c r="R39" s="1">
        <f t="shared" si="11"/>
        <v>4.3</v>
      </c>
    </row>
    <row r="40" spans="1:18" ht="15.75" customHeight="1" x14ac:dyDescent="0.25">
      <c r="A40" s="18" t="s">
        <v>43</v>
      </c>
      <c r="B40" s="19">
        <v>138291</v>
      </c>
      <c r="C40" s="19">
        <v>67357</v>
      </c>
      <c r="D40" s="19">
        <v>70934</v>
      </c>
      <c r="E40" s="19">
        <v>2283</v>
      </c>
      <c r="F40" s="19">
        <v>1136</v>
      </c>
      <c r="G40" s="19">
        <v>1147</v>
      </c>
      <c r="H40" s="19">
        <v>136008</v>
      </c>
      <c r="I40" s="19">
        <v>66221</v>
      </c>
      <c r="J40" s="19">
        <v>69787</v>
      </c>
      <c r="L40" s="10" t="s">
        <v>33</v>
      </c>
      <c r="M40" s="10">
        <v>31490</v>
      </c>
      <c r="N40" s="10"/>
      <c r="O40" s="24">
        <f t="shared" si="8"/>
        <v>30970</v>
      </c>
      <c r="P40" s="24">
        <f t="shared" si="9"/>
        <v>520</v>
      </c>
      <c r="Q40" s="1">
        <f t="shared" si="10"/>
        <v>4.4000000000000004</v>
      </c>
      <c r="R40" s="1">
        <f t="shared" si="11"/>
        <v>4.4000000000000004</v>
      </c>
    </row>
    <row r="41" spans="1:18" ht="15.75" customHeight="1" x14ac:dyDescent="0.25">
      <c r="A41" s="18" t="s">
        <v>40</v>
      </c>
      <c r="B41" s="19">
        <v>105013</v>
      </c>
      <c r="C41" s="19">
        <v>51619</v>
      </c>
      <c r="D41" s="19">
        <v>53394</v>
      </c>
      <c r="E41" s="19">
        <v>105013</v>
      </c>
      <c r="F41" s="19">
        <v>51619</v>
      </c>
      <c r="G41" s="19">
        <v>53394</v>
      </c>
      <c r="H41" s="20">
        <v>0</v>
      </c>
      <c r="I41" s="20">
        <v>0</v>
      </c>
      <c r="J41" s="20">
        <v>0</v>
      </c>
      <c r="L41" s="10" t="s">
        <v>40</v>
      </c>
      <c r="M41" s="10">
        <v>24993</v>
      </c>
      <c r="N41" s="10"/>
      <c r="O41" s="24">
        <f t="shared" si="8"/>
        <v>0</v>
      </c>
      <c r="P41" s="24">
        <f t="shared" si="9"/>
        <v>24993</v>
      </c>
      <c r="Q41" s="1">
        <v>0</v>
      </c>
      <c r="R41" s="1">
        <f t="shared" si="11"/>
        <v>4.2</v>
      </c>
    </row>
    <row r="42" spans="1:18" ht="15.75" customHeight="1" thickBot="1" x14ac:dyDescent="0.3">
      <c r="A42" s="21" t="s">
        <v>28</v>
      </c>
      <c r="B42" s="22">
        <v>800264</v>
      </c>
      <c r="C42" s="22">
        <v>401172</v>
      </c>
      <c r="D42" s="22">
        <v>399092</v>
      </c>
      <c r="E42" s="22">
        <v>800264</v>
      </c>
      <c r="F42" s="22">
        <v>401172</v>
      </c>
      <c r="G42" s="22">
        <v>399092</v>
      </c>
      <c r="H42" s="23">
        <v>0</v>
      </c>
      <c r="I42" s="23">
        <v>0</v>
      </c>
      <c r="J42" s="23">
        <v>0</v>
      </c>
      <c r="L42" s="10" t="s">
        <v>28</v>
      </c>
      <c r="M42" s="10">
        <v>191682</v>
      </c>
      <c r="N42" s="10"/>
      <c r="O42" s="24">
        <f t="shared" si="8"/>
        <v>0</v>
      </c>
      <c r="P42" s="24">
        <f t="shared" si="9"/>
        <v>191682</v>
      </c>
      <c r="Q42" s="1">
        <v>0</v>
      </c>
      <c r="R42" s="1">
        <f t="shared" si="11"/>
        <v>4.2</v>
      </c>
    </row>
    <row r="43" spans="1:18" ht="15.75" customHeight="1" x14ac:dyDescent="0.2"/>
    <row r="44" spans="1:18" ht="15.75" customHeight="1" x14ac:dyDescent="0.2"/>
    <row r="45" spans="1:18" ht="15.75" customHeight="1" x14ac:dyDescent="0.2"/>
    <row r="46" spans="1:18" ht="15.75" customHeight="1" x14ac:dyDescent="0.2"/>
    <row r="47" spans="1:18" ht="15.75" customHeight="1" x14ac:dyDescent="0.2"/>
    <row r="48" spans="1:1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</sheetData>
  <mergeCells count="5">
    <mergeCell ref="A1:J1"/>
    <mergeCell ref="A2:A3"/>
    <mergeCell ref="B2:D2"/>
    <mergeCell ref="E2:G2"/>
    <mergeCell ref="H2:J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2A23EF0C5D7394A8FBFAE1E3A02E3ED" ma:contentTypeVersion="15" ma:contentTypeDescription="Crear nuevo documento." ma:contentTypeScope="" ma:versionID="1063078bec93debd59b3057e07fd00a1">
  <xsd:schema xmlns:xsd="http://www.w3.org/2001/XMLSchema" xmlns:xs="http://www.w3.org/2001/XMLSchema" xmlns:p="http://schemas.microsoft.com/office/2006/metadata/properties" xmlns:ns2="09accc49-8c07-47d0-b672-310300214191" xmlns:ns3="6cadb53b-69e2-4ba8-a1d8-70bee0101908" targetNamespace="http://schemas.microsoft.com/office/2006/metadata/properties" ma:root="true" ma:fieldsID="2768390a032c9f6b358d212780260adc" ns2:_="" ns3:_="">
    <xsd:import namespace="09accc49-8c07-47d0-b672-310300214191"/>
    <xsd:import namespace="6cadb53b-69e2-4ba8-a1d8-70bee01019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accc49-8c07-47d0-b672-3103002141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aa4eac88-8ae6-4a96-90c7-97bc93c844e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adb53b-69e2-4ba8-a1d8-70bee0101908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549d678-236e-4b00-a4de-d9db09be686e}" ma:internalName="TaxCatchAll" ma:showField="CatchAllData" ma:web="6cadb53b-69e2-4ba8-a1d8-70bee01019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1A94D33-4AE0-4686-A706-F34694AE02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9accc49-8c07-47d0-b672-310300214191"/>
    <ds:schemaRef ds:uri="6cadb53b-69e2-4ba8-a1d8-70bee010190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90E4FB3-3CDC-4E38-BC6E-774180AFFF9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pc</dc:creator>
  <cp:lastModifiedBy>Heredia Fonseca, Roberto D</cp:lastModifiedBy>
  <dcterms:created xsi:type="dcterms:W3CDTF">2018-01-17T06:54:10Z</dcterms:created>
  <dcterms:modified xsi:type="dcterms:W3CDTF">2025-04-29T15:47:19Z</dcterms:modified>
</cp:coreProperties>
</file>